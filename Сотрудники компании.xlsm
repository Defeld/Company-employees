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hidePivotFieldList="1" defaultThemeVersion="124226"/>
  <bookViews>
    <workbookView xWindow="0" yWindow="0" windowWidth="21570" windowHeight="8145"/>
  </bookViews>
  <sheets>
    <sheet name="Данные" sheetId="1" r:id="rId1"/>
    <sheet name="СводнаяТаблица" sheetId="4" r:id="rId2"/>
  </sheets>
  <definedNames>
    <definedName name="_xlnm._FilterDatabase" localSheetId="0" hidden="1">Данные!$B$16:$L$16</definedName>
  </definedNames>
  <calcPr calcId="162913"/>
  <pivotCaches>
    <pivotCache cacheId="0" r:id="rId3"/>
  </pivotCaches>
</workbook>
</file>

<file path=xl/calcChain.xml><?xml version="1.0" encoding="utf-8"?>
<calcChain xmlns="http://schemas.openxmlformats.org/spreadsheetml/2006/main"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7" i="1"/>
  <c r="N10" i="1" l="1"/>
  <c r="N6" i="1" l="1"/>
  <c r="N9" i="1" l="1"/>
  <c r="N5" i="1"/>
  <c r="N4" i="1"/>
  <c r="N8" i="1" l="1"/>
  <c r="K17" i="1"/>
  <c r="H28" i="1"/>
  <c r="H18" i="1"/>
  <c r="H19" i="1"/>
  <c r="H20" i="1"/>
  <c r="H21" i="1"/>
  <c r="H22" i="1"/>
  <c r="H23" i="1"/>
  <c r="H24" i="1"/>
  <c r="H25" i="1"/>
  <c r="H26" i="1"/>
  <c r="H27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7" i="1"/>
  <c r="N7" i="1" l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8" i="1"/>
</calcChain>
</file>

<file path=xl/sharedStrings.xml><?xml version="1.0" encoding="utf-8"?>
<sst xmlns="http://schemas.openxmlformats.org/spreadsheetml/2006/main" count="237" uniqueCount="137">
  <si>
    <t>№ п/п</t>
  </si>
  <si>
    <t>Дата приема</t>
  </si>
  <si>
    <t>Дата увольнения</t>
  </si>
  <si>
    <t>фамилия</t>
  </si>
  <si>
    <t>имя</t>
  </si>
  <si>
    <t>отчество</t>
  </si>
  <si>
    <t>Стаж</t>
  </si>
  <si>
    <t>Дата рождения</t>
  </si>
  <si>
    <t>Пол</t>
  </si>
  <si>
    <t>Возраст на дату приема</t>
  </si>
  <si>
    <t>Таблица 1. Отчёт по стажу работы сотрудников, в том числе уволенных, на</t>
  </si>
  <si>
    <t>Таблица 2.</t>
  </si>
  <si>
    <t>Средний возраст уволенных</t>
  </si>
  <si>
    <t>Какого пола больше уволили</t>
  </si>
  <si>
    <t>№</t>
  </si>
  <si>
    <t>Причина увольнения</t>
  </si>
  <si>
    <t>по соглашению</t>
  </si>
  <si>
    <t>сокращение</t>
  </si>
  <si>
    <t>нарушение ТД</t>
  </si>
  <si>
    <t>окончание ТД</t>
  </si>
  <si>
    <t>Самая частая причина увольнения</t>
  </si>
  <si>
    <t>Расчитать</t>
  </si>
  <si>
    <t>Ответы</t>
  </si>
  <si>
    <t>Количество сотрудников с фамилией, начинающейся на букву "М"</t>
  </si>
  <si>
    <t>Количество различных причин увольнения</t>
  </si>
  <si>
    <t>по собственному желанию</t>
  </si>
  <si>
    <t>несоответствие</t>
  </si>
  <si>
    <t>работает</t>
  </si>
  <si>
    <t>Количество работающих на 01.01.2019</t>
  </si>
  <si>
    <t>Количество уволенных на 01.01.2019</t>
  </si>
  <si>
    <t>Количество уволенных на 01.01.2015</t>
  </si>
  <si>
    <r>
      <t xml:space="preserve">1. Перенесите в столбцы </t>
    </r>
    <r>
      <rPr>
        <b/>
        <sz val="11"/>
        <color theme="1"/>
        <rFont val="Times New Roman"/>
        <family val="1"/>
        <charset val="204"/>
      </rPr>
      <t>D</t>
    </r>
    <r>
      <rPr>
        <sz val="11"/>
        <color theme="1"/>
        <rFont val="Times New Roman"/>
        <family val="1"/>
        <charset val="204"/>
      </rPr>
      <t xml:space="preserve"> и </t>
    </r>
    <r>
      <rPr>
        <b/>
        <sz val="11"/>
        <color theme="1"/>
        <rFont val="Times New Roman"/>
        <family val="1"/>
        <charset val="204"/>
      </rPr>
      <t>E</t>
    </r>
    <r>
      <rPr>
        <sz val="11"/>
        <color theme="1"/>
        <rFont val="Times New Roman"/>
        <family val="1"/>
        <charset val="204"/>
      </rPr>
      <t xml:space="preserve"> имена и отчества сотрудников из столбца </t>
    </r>
    <r>
      <rPr>
        <b/>
        <sz val="11"/>
        <color theme="1"/>
        <rFont val="Times New Roman"/>
        <family val="1"/>
        <charset val="204"/>
      </rPr>
      <t>C</t>
    </r>
    <r>
      <rPr>
        <sz val="11"/>
        <color theme="1"/>
        <rFont val="Times New Roman"/>
        <family val="1"/>
        <charset val="204"/>
      </rPr>
      <t xml:space="preserve">, в столбце </t>
    </r>
    <r>
      <rPr>
        <b/>
        <sz val="11"/>
        <color theme="1"/>
        <rFont val="Times New Roman"/>
        <family val="1"/>
        <charset val="204"/>
      </rPr>
      <t>C</t>
    </r>
    <r>
      <rPr>
        <sz val="11"/>
        <color theme="1"/>
        <rFont val="Times New Roman"/>
        <family val="1"/>
        <charset val="204"/>
      </rPr>
      <t xml:space="preserve"> оставьте только фамилии.
2. Укажите в столбце </t>
    </r>
    <r>
      <rPr>
        <b/>
        <sz val="11"/>
        <color theme="1"/>
        <rFont val="Times New Roman"/>
        <family val="1"/>
        <charset val="204"/>
      </rPr>
      <t>G</t>
    </r>
    <r>
      <rPr>
        <sz val="11"/>
        <color theme="1"/>
        <rFont val="Times New Roman"/>
        <family val="1"/>
        <charset val="204"/>
      </rPr>
      <t xml:space="preserve"> гендерную принадлежность сотрудников.
3. Укажите в столбце </t>
    </r>
    <r>
      <rPr>
        <b/>
        <sz val="11"/>
        <color theme="1"/>
        <rFont val="Times New Roman"/>
        <family val="1"/>
        <charset val="204"/>
      </rPr>
      <t>H</t>
    </r>
    <r>
      <rPr>
        <sz val="11"/>
        <color theme="1"/>
        <rFont val="Times New Roman"/>
        <family val="1"/>
        <charset val="204"/>
      </rPr>
      <t xml:space="preserve"> возраст на дату приема (количество полных лет).
4. Заполните столбец </t>
    </r>
    <r>
      <rPr>
        <b/>
        <sz val="11"/>
        <color theme="1"/>
        <rFont val="Times New Roman"/>
        <family val="1"/>
        <charset val="204"/>
      </rPr>
      <t>K</t>
    </r>
    <r>
      <rPr>
        <sz val="11"/>
        <color theme="1"/>
        <rFont val="Times New Roman"/>
        <family val="1"/>
        <charset val="204"/>
      </rPr>
      <t xml:space="preserve">, если в столбце </t>
    </r>
    <r>
      <rPr>
        <b/>
        <sz val="11"/>
        <color theme="1"/>
        <rFont val="Times New Roman"/>
        <family val="1"/>
        <charset val="204"/>
      </rPr>
      <t>J</t>
    </r>
    <r>
      <rPr>
        <sz val="11"/>
        <color theme="1"/>
        <rFont val="Times New Roman"/>
        <family val="1"/>
        <charset val="204"/>
      </rPr>
      <t xml:space="preserve"> дата увольнения пустая, то считайте стаж на дату отчета (ячейка </t>
    </r>
    <r>
      <rPr>
        <b/>
        <sz val="11"/>
        <color theme="1"/>
        <rFont val="Times New Roman"/>
        <family val="1"/>
        <charset val="204"/>
      </rPr>
      <t>F13</t>
    </r>
    <r>
      <rPr>
        <sz val="11"/>
        <color theme="1"/>
        <rFont val="Times New Roman"/>
        <family val="1"/>
        <charset val="204"/>
      </rPr>
      <t>).
5. Построить на отдельном листе сводную таблицу по причинам увольнения/гендерной принадлежности сотрудника. Полученные данные прокомментировать.
6. Заполните в таблице 2 столбец "Ответы" с помощью формул или макросов.
Пример заполнения в первой строке. Перед выполнением задания привести табличные данные к общему виду</t>
    </r>
  </si>
  <si>
    <t>Общий итог</t>
  </si>
  <si>
    <t>женский</t>
  </si>
  <si>
    <t>мужской</t>
  </si>
  <si>
    <t>Количество по полю Причина увольнения</t>
  </si>
  <si>
    <t>Исходя из данных сводной таблицы, можно сделать вывод, что сотрудники организации увольняются чаще всего по собственному желанию, однако мужчины уходят с работы с такой формулировкой чаще женщин.  Женщины же чаще мужчин уходят с работы по соглашению. Несоответствие занимаемой должности как причина ухода с работы больше встречается у мужчин. Женщины уходят с работы реже.</t>
  </si>
  <si>
    <t>АБИТОВА РОЗА МАРКОВНА</t>
  </si>
  <si>
    <t>АВДЕЕВА АФРОДИТА АБРАМОВНА</t>
  </si>
  <si>
    <t>АГАДЖАНЯН РАЗМИК ВИКТОРОВНА</t>
  </si>
  <si>
    <t>АН ТЕРЕЗА АНАТОЛЬЕВНА</t>
  </si>
  <si>
    <t>АРСЛАНОВ ВАЛЕРИЙ НИКОЛАЕВИЧ</t>
  </si>
  <si>
    <t>АС НИНА ЗАХАРОВНА</t>
  </si>
  <si>
    <t>АСЛАНЯН ТАМАРА ВАЛЕНТИНОВНА</t>
  </si>
  <si>
    <t>АСТАПЕНКО НАЗИРА КАРИМОВНА</t>
  </si>
  <si>
    <t>АФАНАСЬЕВ ЕВГЕНИЙ ГЕРАСИМОВИЧ</t>
  </si>
  <si>
    <t>АХМЕДОВА ЛУИЗА МАКСИМОВНА</t>
  </si>
  <si>
    <t>АЧИЛОВ АЛЕКСАНДР ЯКОВЛЕВИЧ</t>
  </si>
  <si>
    <t>БАШКАТОВ ВЛАДИМИР КЕНЖАЕВИЧ</t>
  </si>
  <si>
    <t>БАШКАТОВА ИРИНА НИКОЛАЕВНА</t>
  </si>
  <si>
    <t>БИКТИМИРОВА РЕПСИМЕ ВИКТОРОВНА</t>
  </si>
  <si>
    <t>БИЛЯЛОВА ЕВГЕНИЯ ПАРГЕВОВНА</t>
  </si>
  <si>
    <t>БОЗОРОВ АНАТОЛИЙ РУБИКОВИЧ</t>
  </si>
  <si>
    <t>ГАФУРОВ РАДЖ БОРИСОВИЧ</t>
  </si>
  <si>
    <t>ГАФУРОВА НАИРА ИОСИФ КЫЗЫ</t>
  </si>
  <si>
    <t>ГРИГОРЯН ТАТЬЯНА БАДОРДИНОВНА</t>
  </si>
  <si>
    <t>ГУЛЬБИН ВИКТОР НИКОЛАЕВИЧ</t>
  </si>
  <si>
    <t>ДАВЫДОВА ИВАННА НИКОЛАЕВНА</t>
  </si>
  <si>
    <t>ДЫРВА МИХАИЛ ВЛАДИМИРОВИЧ</t>
  </si>
  <si>
    <t>ЕРЦ АРМЕН ПЕТРОВИЧ</t>
  </si>
  <si>
    <t>ЗАХАРЧЕНКО ВЛАДИМИР МИХАЙЛОВИЧ</t>
  </si>
  <si>
    <t>ЗУЕВА СУСАННА ВАЛЕНТИНОВНА</t>
  </si>
  <si>
    <t>ИВАНЬКОВА ТАТЬЯНА АРМАИСОВНА</t>
  </si>
  <si>
    <t>ИЛЬХИДЖИЕВА ОЛЬГА ВЛАДИМИРОВНА</t>
  </si>
  <si>
    <t>ИСМАИЛОВА ОЛЬГА ГУРГЕНОВНА</t>
  </si>
  <si>
    <t>КАБАНКОВ ИГОРЬ ГЕОРГИЕВИЧ</t>
  </si>
  <si>
    <t>КАЛИНИНА ЖАННЕТА ПАВЛОВНА</t>
  </si>
  <si>
    <t>КАПУСТИНА КАРИНЕ НИКОЛАЕВНА</t>
  </si>
  <si>
    <t>КАРИМОВ РОБЕРТ АНДРЕЕВИЧ</t>
  </si>
  <si>
    <t>КИРЬЯКОВ РАФИК АРКАДЬЕВИЧ</t>
  </si>
  <si>
    <t>КИСЕЛЮК ЕВГЕНИЙ ГРАЧИКОВИЧ</t>
  </si>
  <si>
    <t>КОЛБ АЛЕКСЕЙ СТЕПАНОВИЧ</t>
  </si>
  <si>
    <t>КОНОНЕНКО НИКОЛАЙ ВИКТОРОВИЧ</t>
  </si>
  <si>
    <t>КОНОНЕНКО НИНА ИДРИСОВНА</t>
  </si>
  <si>
    <t>КРИНИЧНЫЙ УМАРАЛИ АЛЕКСЕЕВИЧ</t>
  </si>
  <si>
    <t>ЛЕОНОВ ВЯЧЕСЛАВ КАМИЛОВИЧ</t>
  </si>
  <si>
    <t>ЛИСЯТИН ВАЛЕНТИН НИКОЛАЕВИЧ</t>
  </si>
  <si>
    <t>ЛИТОВЧЕНКО ЛЕОНИД ГАРЕГИНОВИЧ</t>
  </si>
  <si>
    <t>МАМУКОВ СЕРГЕЙ АНАТОЛЬЕВИЧ</t>
  </si>
  <si>
    <t>МАНАСЯН ЛИЛЯ МАТЕВОСОВНА</t>
  </si>
  <si>
    <t>МАРДАНЯН ЗИНАИДА НИКОЛАЕВНА</t>
  </si>
  <si>
    <t>МАРКЕЛОВ РАВШАН ВАЛЕНТИНОВИЧ</t>
  </si>
  <si>
    <t>МАРЧЕНКО ЛАРИСА НИКОЛАЕВНА</t>
  </si>
  <si>
    <t>МАТРОСОВА НОНА ДМИТРИЕВНА</t>
  </si>
  <si>
    <t>МЕЛИКЯН ГАЛИНА СТЕПАНОВНА</t>
  </si>
  <si>
    <t>МЕНТУЗ ЛАРИСА МУРАТОВНА</t>
  </si>
  <si>
    <t>МЕНТУЗ ОЛЬГА ГАМАРНИКОВНА</t>
  </si>
  <si>
    <t>МИШКОВ АЛЕКСАНДР ХАЙДАРОВИЧ</t>
  </si>
  <si>
    <t>МОРЕВА ЯРОСЛАВА АДАМОВНА</t>
  </si>
  <si>
    <t>МОСИНЯН ЗОЯ НИКОЛАЕВНА</t>
  </si>
  <si>
    <t>МУХАМЕДОВ ГУЛЬМАТ ИЛЛАРИОН ОГЛЫ</t>
  </si>
  <si>
    <t>МХИТАРЯН АНЖИК ХАСАНШЕВНА</t>
  </si>
  <si>
    <t>ОГАМ ТИХОМИР АЛИМОВИЧ</t>
  </si>
  <si>
    <t>ПИНТИЙ ВИКТОР НИКОЛАЕВИЧ</t>
  </si>
  <si>
    <t>ПОДГОРНОВА СВЕТЛАНА ВАСИЛЬЕВНА</t>
  </si>
  <si>
    <t>ПУШКОВ ВЛАДИМИР МИХАЙЛОВИЧ</t>
  </si>
  <si>
    <t>ПШЕНИЦЫН ЮРИЙ АЙВАРОВИЧ</t>
  </si>
  <si>
    <t>РАДИОНОВА ЛИДИЯ МИХАЙЛОВНА</t>
  </si>
  <si>
    <t>РОМАНЧУК ТАТЬЯНА БАДОРДИНОВНА</t>
  </si>
  <si>
    <t>РОМАНЧУК ТАТЬЯНА ВАГАРШАКОВНА</t>
  </si>
  <si>
    <t>РОМАШКО ДУСМУРАТ ДЖАМИЛОВИЧ</t>
  </si>
  <si>
    <t>РОШЕНКО АНДРАНИК РОМАНОВИЧ</t>
  </si>
  <si>
    <t>САМБУЛОВ КАХРАМОНЖОН ГЕННАДЬЕВИЧ</t>
  </si>
  <si>
    <t>САМОНДАРОВ МОХАМЕД ВЛАДИМИРОВИЧ</t>
  </si>
  <si>
    <t>САРКИСОВА АЛЛА ЭДУАРДОВНА</t>
  </si>
  <si>
    <t>СВИРИДОН ДЕНИС ИБРАГИМОВИЧ</t>
  </si>
  <si>
    <t>СИТНИКОВ АНАТОЛИЙ СЕРВЕРОВИЧ</t>
  </si>
  <si>
    <t>СКВОРЦОВА ВЕРА ТЕШАБАЕВНА</t>
  </si>
  <si>
    <t>СОН БАХИР ПАВЛОВИЧ</t>
  </si>
  <si>
    <t>СТЕПАНЯН АРЕКНАЗ ФИЛИППОВНА</t>
  </si>
  <si>
    <t>СТЕПАНЯН ВИКТОР НИКОЛАЕВИЧ</t>
  </si>
  <si>
    <t>СТЕПАНЯН ИРИНА НИКОЛАЕВНА</t>
  </si>
  <si>
    <t>СТИРАНКА ГОАР СЕРГЕЕВНА</t>
  </si>
  <si>
    <t>ТАМУЛЯНИС ЛЕНА МИХАЙЛОВНА</t>
  </si>
  <si>
    <t>ТАНЕВ ПАВЕЛ ВАСИЛЬЕВИЧ</t>
  </si>
  <si>
    <t>ТЁ АЛЕКСАНДР ЮРЬЕВИЧ</t>
  </si>
  <si>
    <t>ТЕЛУШКИН АНДРЕЙ ПРОКОФЬЕВИЧ</t>
  </si>
  <si>
    <t>ТЕН СВЕТЛАНА ВАСИЛЬЕВНА</t>
  </si>
  <si>
    <t>ТОМАШЕВ АРСЕН ПЕТРОВИЧ</t>
  </si>
  <si>
    <t>ТРАВКИН ПЁТР ВАЛЕНТИНОВИЧ</t>
  </si>
  <si>
    <t>УНАНЯН ДМИТРИЙ ДМИТРИЕВИЧ</t>
  </si>
  <si>
    <t>УСМАНОВ ЮРИЙ АЛЕКСАНДРОВИЧ</t>
  </si>
  <si>
    <t>ФАТТАХОВА МИНСЛУ КОНСТАНТИНОВНА</t>
  </si>
  <si>
    <t>ХАЛИЛОВА ФАРИДА АЛЕКСАНДРОВНА</t>
  </si>
  <si>
    <t>ХОМЕНКО ВЛАДИМИР МУТАЛИБОВИЧ</t>
  </si>
  <si>
    <t>ЦОЛОЛО АЛЕКСАНДР ФУАТОВИЧ</t>
  </si>
  <si>
    <t>ЧЕРВИНЧУК ДАМИР ИВАНОВИЧ</t>
  </si>
  <si>
    <t>ЧОБАНЯН АЛЕКСАНДР ТОЛИБОВИЧ</t>
  </si>
  <si>
    <t>ШЕВКОПЛЯС ВЛАДИМИР НИКОЛАЕВИЧ</t>
  </si>
  <si>
    <t>ШЕВКОПЛЯС ГАЛИНА СЕРГЕЕВНА</t>
  </si>
  <si>
    <t>ШЕЙНИНА ФЛЮРА АЛЕКСАНДРОВНА</t>
  </si>
  <si>
    <t>ШЕСТАКОВ НИКОЛАЙ ВЛАДИМИРОВИЧ</t>
  </si>
  <si>
    <t>ШИДЛОВСКАЯ ЕВГЕНИЯ ПАТВАКАНОВНА</t>
  </si>
  <si>
    <t>ШИН НУВАХИДИЯ ДАВИДОВНА</t>
  </si>
  <si>
    <t>ШУБИНА ЛЮБОВЬ ЛЕОНИДОВНА</t>
  </si>
  <si>
    <t>ЮНУСОВА АЛВАРД ЮРЬЕВНА</t>
  </si>
  <si>
    <t>ЯКУБОВИЧ АЛЕКСАНДР ХАЛИМОВИЧ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</si>
</sst>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0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" fillId="0" borderId="0" xfId="0" applyFont="1"/>
    <xf numFmtId="14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 vertical="center" indent="1"/>
    </xf>
    <xf numFmtId="0" fontId="1" fillId="0" borderId="1" xfId="0" applyFont="1" applyFill="1" applyBorder="1" applyAlignment="1">
      <alignment horizontal="left" vertical="center" wrapText="1" indent="1"/>
    </xf>
    <xf numFmtId="14" fontId="1" fillId="0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left" vertical="center" indent="1"/>
    </xf>
    <xf numFmtId="14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 indent="1"/>
    </xf>
    <xf numFmtId="0" fontId="1" fillId="0" borderId="0" xfId="0" applyFont="1" applyFill="1" applyAlignment="1">
      <alignment vertical="center"/>
    </xf>
    <xf numFmtId="0" fontId="2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 vertical="center" indent="1"/>
    </xf>
    <xf numFmtId="14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0" fillId="0" borderId="0" xfId="0" applyAlignment="1">
      <alignment horizontal="left" vertical="top" wrapText="1"/>
    </xf>
    <xf numFmtId="0" fontId="6" fillId="0" borderId="1" xfId="0" applyFont="1" applyBorder="1" applyAlignment="1">
      <alignment horizontal="left" vertical="center" indent="1"/>
    </xf>
  </cellXfs>
  <cellStyles count="1">
    <cellStyle name="Обычный" xfId="0" builtinId="0"/>
  </cellStyles>
  <dxfs count="1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[Выполненное Тестовое задание Шумаков О.А..xlsm]СводнаяТаблица!СводнаяТаблица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СводнаяТаблица!$C$3:$C$4</c:f>
              <c:strCache>
                <c:ptCount val="1"/>
                <c:pt idx="0">
                  <c:v>женский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СводнаяТаблица!$B$5:$B$11</c:f>
              <c:strCache>
                <c:ptCount val="6"/>
                <c:pt idx="0">
                  <c:v>нарушение ТД</c:v>
                </c:pt>
                <c:pt idx="1">
                  <c:v>несоответствие</c:v>
                </c:pt>
                <c:pt idx="2">
                  <c:v>окончание ТД</c:v>
                </c:pt>
                <c:pt idx="3">
                  <c:v>по собственному желанию</c:v>
                </c:pt>
                <c:pt idx="4">
                  <c:v>по соглашению</c:v>
                </c:pt>
                <c:pt idx="5">
                  <c:v>сокращение</c:v>
                </c:pt>
              </c:strCache>
            </c:strRef>
          </c:cat>
          <c:val>
            <c:numRef>
              <c:f>СводнаяТаблица!$C$5:$C$11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10</c:v>
                </c:pt>
                <c:pt idx="4">
                  <c:v>8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5E-4C58-8138-4AFEA7722164}"/>
            </c:ext>
          </c:extLst>
        </c:ser>
        <c:ser>
          <c:idx val="1"/>
          <c:order val="1"/>
          <c:tx>
            <c:strRef>
              <c:f>СводнаяТаблица!$D$3:$D$4</c:f>
              <c:strCache>
                <c:ptCount val="1"/>
                <c:pt idx="0">
                  <c:v>мужской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СводнаяТаблица!$B$5:$B$11</c:f>
              <c:strCache>
                <c:ptCount val="6"/>
                <c:pt idx="0">
                  <c:v>нарушение ТД</c:v>
                </c:pt>
                <c:pt idx="1">
                  <c:v>несоответствие</c:v>
                </c:pt>
                <c:pt idx="2">
                  <c:v>окончание ТД</c:v>
                </c:pt>
                <c:pt idx="3">
                  <c:v>по собственному желанию</c:v>
                </c:pt>
                <c:pt idx="4">
                  <c:v>по соглашению</c:v>
                </c:pt>
                <c:pt idx="5">
                  <c:v>сокращение</c:v>
                </c:pt>
              </c:strCache>
            </c:strRef>
          </c:cat>
          <c:val>
            <c:numRef>
              <c:f>СводнаяТаблица!$D$5:$D$11</c:f>
              <c:numCache>
                <c:formatCode>General</c:formatCode>
                <c:ptCount val="6"/>
                <c:pt idx="0">
                  <c:v>1</c:v>
                </c:pt>
                <c:pt idx="1">
                  <c:v>7</c:v>
                </c:pt>
                <c:pt idx="2">
                  <c:v>2</c:v>
                </c:pt>
                <c:pt idx="3">
                  <c:v>15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5E-4C58-8138-4AFEA7722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139040"/>
        <c:axId val="712139584"/>
      </c:barChart>
      <c:catAx>
        <c:axId val="7121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2139584"/>
        <c:crosses val="autoZero"/>
        <c:auto val="1"/>
        <c:lblAlgn val="ctr"/>
        <c:lblOffset val="100"/>
        <c:noMultiLvlLbl val="0"/>
      </c:catAx>
      <c:valAx>
        <c:axId val="71213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213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9525</xdr:rowOff>
        </xdr:from>
        <xdr:to>
          <xdr:col>14</xdr:col>
          <xdr:colOff>600075</xdr:colOff>
          <xdr:row>10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11</xdr:row>
          <xdr:rowOff>95250</xdr:rowOff>
        </xdr:from>
        <xdr:to>
          <xdr:col>8</xdr:col>
          <xdr:colOff>476250</xdr:colOff>
          <xdr:row>13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Расписать ФИО по столбцам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11</xdr:row>
          <xdr:rowOff>95250</xdr:rowOff>
        </xdr:from>
        <xdr:to>
          <xdr:col>10</xdr:col>
          <xdr:colOff>866775</xdr:colOff>
          <xdr:row>13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Привести даты к общему формату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1009650</xdr:colOff>
          <xdr:row>11</xdr:row>
          <xdr:rowOff>95250</xdr:rowOff>
        </xdr:from>
        <xdr:to>
          <xdr:col>13</xdr:col>
          <xdr:colOff>866775</xdr:colOff>
          <xdr:row>13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Привести причины увольнения к общему формату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1</xdr:row>
      <xdr:rowOff>185736</xdr:rowOff>
    </xdr:from>
    <xdr:to>
      <xdr:col>14</xdr:col>
      <xdr:colOff>247650</xdr:colOff>
      <xdr:row>21</xdr:row>
      <xdr:rowOff>38099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4537.543076504633" createdVersion="6" refreshedVersion="6" minRefreshableVersion="3" recordCount="100">
  <cacheSource type="worksheet">
    <worksheetSource name="Таблица1"/>
  </cacheSource>
  <cacheFields count="11">
    <cacheField name="№ п/п" numFmtId="0">
      <sharedItems containsSemiMixedTypes="0" containsString="0" containsNumber="1" containsInteger="1" minValue="1" maxValue="100"/>
    </cacheField>
    <cacheField name="фамилия" numFmtId="0">
      <sharedItems/>
    </cacheField>
    <cacheField name="имя" numFmtId="0">
      <sharedItems/>
    </cacheField>
    <cacheField name="отчество" numFmtId="0">
      <sharedItems/>
    </cacheField>
    <cacheField name="Дата рождения" numFmtId="14">
      <sharedItems containsSemiMixedTypes="0" containsNonDate="0" containsDate="1" containsString="0" minDate="1970-03-30T00:00:00" maxDate="1998-08-07T00:00:00"/>
    </cacheField>
    <cacheField name="Пол" numFmtId="0">
      <sharedItems count="2">
        <s v="женский"/>
        <s v="мужской"/>
      </sharedItems>
    </cacheField>
    <cacheField name="Возраст на дату приема" numFmtId="0">
      <sharedItems containsSemiMixedTypes="0" containsString="0" containsNumber="1" containsInteger="1" minValue="2" maxValue="39"/>
    </cacheField>
    <cacheField name="Дата приема" numFmtId="14">
      <sharedItems containsSemiMixedTypes="0" containsNonDate="0" containsDate="1" containsString="0" minDate="2000-01-19T00:00:00" maxDate="2010-11-25T00:00:00"/>
    </cacheField>
    <cacheField name="Дата увольнения" numFmtId="14">
      <sharedItems containsNonDate="0" containsDate="1" containsString="0" containsBlank="1" minDate="2001-09-09T00:00:00" maxDate="2016-10-03T00:00:00"/>
    </cacheField>
    <cacheField name="Стаж" numFmtId="0">
      <sharedItems/>
    </cacheField>
    <cacheField name="Причина увольнения" numFmtId="0">
      <sharedItems count="7">
        <s v="работает"/>
        <s v="по соглашению"/>
        <s v="по собственному желанию"/>
        <s v="несоответствие"/>
        <s v="окончание ТД"/>
        <s v="сокращение"/>
        <s v="нарушение ТД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n v="1"/>
    <s v="АБИТОВА"/>
    <s v="РОЗА"/>
    <s v="МАРКОВНА"/>
    <d v="1989-07-10T00:00:00"/>
    <x v="0"/>
    <n v="18"/>
    <d v="2007-09-13T00:00:00"/>
    <m/>
    <s v="11 г. 3 мес. 19 дн."/>
    <x v="0"/>
  </r>
  <r>
    <n v="2"/>
    <s v="АВДЕЕВА"/>
    <s v="АФРОДИТА"/>
    <s v="АБРАМОВНА"/>
    <d v="1988-02-14T00:00:00"/>
    <x v="0"/>
    <n v="17"/>
    <d v="2005-08-05T00:00:00"/>
    <d v="2009-06-27T00:00:00"/>
    <s v="3 г. 10 мес. 22 дн."/>
    <x v="1"/>
  </r>
  <r>
    <n v="3"/>
    <s v="АГАДЖАНЯН"/>
    <s v="РАЗМИК"/>
    <s v="ВИКТОРОВНА"/>
    <d v="1993-08-11T00:00:00"/>
    <x v="0"/>
    <n v="13"/>
    <d v="2007-04-22T00:00:00"/>
    <d v="2016-10-02T00:00:00"/>
    <s v="9 г. 5 мес. 10 дн."/>
    <x v="2"/>
  </r>
  <r>
    <n v="4"/>
    <s v="АН"/>
    <s v="ТЕРЕЗА"/>
    <s v="АНАТОЛЬЕВНА"/>
    <d v="1994-08-27T00:00:00"/>
    <x v="0"/>
    <n v="15"/>
    <d v="2010-07-13T00:00:00"/>
    <d v="2012-09-14T00:00:00"/>
    <s v="2 г. 2 мес. 1 дн."/>
    <x v="1"/>
  </r>
  <r>
    <n v="5"/>
    <s v="АРСЛАНОВ"/>
    <s v="ВАЛЕРИЙ"/>
    <s v="НИКОЛАЕВИЧ"/>
    <d v="1995-08-03T00:00:00"/>
    <x v="1"/>
    <n v="8"/>
    <d v="2003-12-28T00:00:00"/>
    <m/>
    <s v="15 г. 0 мес. 4 дн."/>
    <x v="0"/>
  </r>
  <r>
    <n v="6"/>
    <s v="АС"/>
    <s v="НИНА"/>
    <s v="ЗАХАРОВНА"/>
    <d v="1994-05-29T00:00:00"/>
    <x v="0"/>
    <n v="11"/>
    <d v="2006-02-14T00:00:00"/>
    <d v="2011-12-07T00:00:00"/>
    <s v="5 г. 9 мес. 23 дн."/>
    <x v="2"/>
  </r>
  <r>
    <n v="7"/>
    <s v="АСЛАНЯН"/>
    <s v="ТАМАРА"/>
    <s v="ВАЛЕНТИНОВНА"/>
    <d v="1983-06-21T00:00:00"/>
    <x v="0"/>
    <n v="25"/>
    <d v="2008-12-04T00:00:00"/>
    <d v="2011-12-22T00:00:00"/>
    <s v="3 г. 0 мес. 18 дн."/>
    <x v="2"/>
  </r>
  <r>
    <n v="8"/>
    <s v="АСТАПЕНКО"/>
    <s v="НАЗИРА"/>
    <s v="КАРИМОВНА"/>
    <d v="1975-04-12T00:00:00"/>
    <x v="0"/>
    <n v="33"/>
    <d v="2008-10-29T00:00:00"/>
    <d v="2010-09-20T00:00:00"/>
    <s v="1 г. 10 мес. 22 дн."/>
    <x v="3"/>
  </r>
  <r>
    <n v="9"/>
    <s v="АФАНАСЬЕВ"/>
    <s v="ЕВГЕНИЙ"/>
    <s v="ГЕРАСИМОВИЧ"/>
    <d v="1973-01-15T00:00:00"/>
    <x v="1"/>
    <n v="35"/>
    <d v="2008-11-03T00:00:00"/>
    <m/>
    <s v="10 г. 1 мес. 29 дн."/>
    <x v="0"/>
  </r>
  <r>
    <n v="10"/>
    <s v="АХМЕДОВА"/>
    <s v="ЛУИЗА"/>
    <s v="МАКСИМОВНА"/>
    <d v="1970-08-22T00:00:00"/>
    <x v="0"/>
    <n v="35"/>
    <d v="2006-08-09T00:00:00"/>
    <m/>
    <s v="12 г. 4 мес. 23 дн."/>
    <x v="0"/>
  </r>
  <r>
    <n v="11"/>
    <s v="АЧИЛОВ"/>
    <s v="АЛЕКСАНДР"/>
    <s v="ЯКОВЛЕВИЧ"/>
    <d v="1994-03-19T00:00:00"/>
    <x v="1"/>
    <n v="10"/>
    <d v="2005-01-10T00:00:00"/>
    <d v="2015-02-24T00:00:00"/>
    <s v="10 г. 1 мес. 14 дн."/>
    <x v="2"/>
  </r>
  <r>
    <n v="12"/>
    <s v="БАШКАТОВ"/>
    <s v="ВЛАДИМИР"/>
    <s v="КЕНЖАЕВИЧ"/>
    <d v="1974-11-21T00:00:00"/>
    <x v="1"/>
    <n v="29"/>
    <d v="2004-09-01T00:00:00"/>
    <m/>
    <s v="14 г. 4 мес. 0 дн."/>
    <x v="0"/>
  </r>
  <r>
    <n v="13"/>
    <s v="БАШКАТОВА"/>
    <s v="ИРИНА"/>
    <s v="НИКОЛАЕВНА"/>
    <d v="1996-08-26T00:00:00"/>
    <x v="0"/>
    <n v="11"/>
    <d v="2007-10-05T00:00:00"/>
    <m/>
    <s v="11 г. 2 мес. 27 дн."/>
    <x v="0"/>
  </r>
  <r>
    <n v="14"/>
    <s v="БИКТИМИРОВА"/>
    <s v="РЕПСИМЕ"/>
    <s v="ВИКТОРОВНА"/>
    <d v="1978-11-28T00:00:00"/>
    <x v="0"/>
    <n v="24"/>
    <d v="2002-12-19T00:00:00"/>
    <d v="2011-05-01T00:00:00"/>
    <s v="8 г. 4 мес. 12 дн."/>
    <x v="2"/>
  </r>
  <r>
    <n v="15"/>
    <s v="БИЛЯЛОВА"/>
    <s v="ЕВГЕНИЯ"/>
    <s v="ПАРГЕВОВНА"/>
    <d v="1974-02-02T00:00:00"/>
    <x v="0"/>
    <n v="26"/>
    <d v="2000-06-22T00:00:00"/>
    <d v="2009-09-02T00:00:00"/>
    <s v="9 г. 2 мес. 11 дн."/>
    <x v="3"/>
  </r>
  <r>
    <n v="16"/>
    <s v="БОЗОРОВ"/>
    <s v="АНАТОЛИЙ"/>
    <s v="РУБИКОВИЧ"/>
    <d v="1997-04-28T00:00:00"/>
    <x v="1"/>
    <n v="6"/>
    <d v="2003-11-13T00:00:00"/>
    <m/>
    <s v="15 г. 1 мес. 19 дн."/>
    <x v="0"/>
  </r>
  <r>
    <n v="17"/>
    <s v="ГАФУРОВ"/>
    <s v="РАДЖ"/>
    <s v="БОРИСОВИЧ"/>
    <d v="1996-01-23T00:00:00"/>
    <x v="1"/>
    <n v="11"/>
    <d v="2007-10-19T00:00:00"/>
    <d v="2011-12-02T00:00:00"/>
    <s v="4 г. 1 мес. 13 дн."/>
    <x v="2"/>
  </r>
  <r>
    <n v="18"/>
    <s v="ГАФУРОВА"/>
    <s v="НАИРА"/>
    <s v="ИОСИФ КЫЗЫ"/>
    <d v="1997-09-23T00:00:00"/>
    <x v="0"/>
    <n v="10"/>
    <d v="2008-01-28T00:00:00"/>
    <d v="2013-12-01T00:00:00"/>
    <s v="5 г. 10 мес. 3 дн."/>
    <x v="4"/>
  </r>
  <r>
    <n v="19"/>
    <s v="ГРИГОРЯН"/>
    <s v="ТАТЬЯНА"/>
    <s v="БАДОРДИНОВНА"/>
    <d v="1989-07-26T00:00:00"/>
    <x v="0"/>
    <n v="17"/>
    <d v="2006-11-05T00:00:00"/>
    <d v="2015-10-25T00:00:00"/>
    <s v="8 г. 11 мес. 20 дн."/>
    <x v="1"/>
  </r>
  <r>
    <n v="20"/>
    <s v="ГУЛЬБИН"/>
    <s v="ВИКТОР"/>
    <s v="НИКОЛАЕВИЧ"/>
    <d v="1981-02-19T00:00:00"/>
    <x v="1"/>
    <n v="19"/>
    <d v="2000-03-18T00:00:00"/>
    <m/>
    <s v="18 г. 9 мес. 14 дн."/>
    <x v="0"/>
  </r>
  <r>
    <n v="21"/>
    <s v="ДАВЫДОВА"/>
    <s v="ИВАННА"/>
    <s v="НИКОЛАЕВНА"/>
    <d v="1988-05-20T00:00:00"/>
    <x v="0"/>
    <n v="13"/>
    <d v="2002-03-04T00:00:00"/>
    <d v="2007-10-18T00:00:00"/>
    <s v="5 г. 7 мес. 14 дн."/>
    <x v="5"/>
  </r>
  <r>
    <n v="22"/>
    <s v="ДЫРВА"/>
    <s v="МИХАИЛ"/>
    <s v="ВЛАДИМИРОВИЧ"/>
    <d v="1975-12-20T00:00:00"/>
    <x v="1"/>
    <n v="29"/>
    <d v="2005-02-11T00:00:00"/>
    <d v="2014-04-14T00:00:00"/>
    <s v="9 г. 2 мес. 3 дн."/>
    <x v="1"/>
  </r>
  <r>
    <n v="23"/>
    <s v="ЕРЦ"/>
    <s v="АРМЕН"/>
    <s v="ПЕТРОВИЧ"/>
    <d v="1989-07-04T00:00:00"/>
    <x v="1"/>
    <n v="11"/>
    <d v="2001-01-31T00:00:00"/>
    <d v="2009-03-22T00:00:00"/>
    <s v="8 г. 1 мес. 19 дн."/>
    <x v="3"/>
  </r>
  <r>
    <n v="24"/>
    <s v="ЗАХАРЧЕНКО"/>
    <s v="ВЛАДИМИР"/>
    <s v="МИХАЙЛОВИЧ"/>
    <d v="1985-04-25T00:00:00"/>
    <x v="1"/>
    <n v="17"/>
    <d v="2002-10-27T00:00:00"/>
    <d v="2012-05-02T00:00:00"/>
    <s v="9 г. 6 мес. 5 дн."/>
    <x v="5"/>
  </r>
  <r>
    <n v="25"/>
    <s v="ЗУЕВА"/>
    <s v="СУСАННА"/>
    <s v="ВАЛЕНТИНОВНА"/>
    <d v="1993-02-27T00:00:00"/>
    <x v="0"/>
    <n v="7"/>
    <d v="2000-05-24T00:00:00"/>
    <m/>
    <s v="18 г. 7 мес. 8 дн."/>
    <x v="0"/>
  </r>
  <r>
    <n v="26"/>
    <s v="ИВАНЬКОВА"/>
    <s v="ТАТЬЯНА"/>
    <s v="АРМАИСОВНА"/>
    <d v="1976-01-22T00:00:00"/>
    <x v="0"/>
    <n v="30"/>
    <d v="2006-02-12T00:00:00"/>
    <d v="2009-11-21T00:00:00"/>
    <s v="3 г. 9 мес. 9 дн."/>
    <x v="2"/>
  </r>
  <r>
    <n v="27"/>
    <s v="ИЛЬХИДЖИЕВА"/>
    <s v="ОЛЬГА"/>
    <s v="ВЛАДИМИРОВНА"/>
    <d v="1996-08-28T00:00:00"/>
    <x v="0"/>
    <n v="7"/>
    <d v="2004-05-07T00:00:00"/>
    <d v="2002-04-24T00:00:00"/>
    <e v="#NUM!"/>
    <x v="5"/>
  </r>
  <r>
    <n v="28"/>
    <s v="ИСМАИЛОВА"/>
    <s v="ОЛЬГА"/>
    <s v="ГУРГЕНОВНА"/>
    <d v="1994-09-01T00:00:00"/>
    <x v="0"/>
    <n v="7"/>
    <d v="2001-09-19T00:00:00"/>
    <m/>
    <s v="17 г. 3 мес. 13 дн."/>
    <x v="0"/>
  </r>
  <r>
    <n v="29"/>
    <s v="КАБАНКОВ"/>
    <s v="ИГОРЬ"/>
    <s v="ГЕОРГИЕВИЧ"/>
    <d v="1996-09-06T00:00:00"/>
    <x v="1"/>
    <n v="7"/>
    <d v="2004-01-09T00:00:00"/>
    <d v="2003-04-07T00:00:00"/>
    <e v="#NUM!"/>
    <x v="2"/>
  </r>
  <r>
    <n v="30"/>
    <s v="КАЛИНИНА"/>
    <s v="ЖАННЕТА"/>
    <s v="ПАВЛОВНА"/>
    <d v="1975-01-06T00:00:00"/>
    <x v="0"/>
    <n v="32"/>
    <d v="2007-01-17T00:00:00"/>
    <m/>
    <s v="11 г. 11 мес. 15 дн."/>
    <x v="0"/>
  </r>
  <r>
    <n v="31"/>
    <s v="КАПУСТИНА"/>
    <s v="КАРИНЕ"/>
    <s v="НИКОЛАЕВНА"/>
    <d v="1976-02-12T00:00:00"/>
    <x v="0"/>
    <n v="24"/>
    <d v="2001-02-01T00:00:00"/>
    <d v="2015-03-15T00:00:00"/>
    <s v="14 г. 1 мес. 14 дн."/>
    <x v="3"/>
  </r>
  <r>
    <n v="32"/>
    <s v="КАРИМОВ"/>
    <s v="РОБЕРТ"/>
    <s v="АНДРЕЕВИЧ"/>
    <d v="1981-08-13T00:00:00"/>
    <x v="1"/>
    <n v="22"/>
    <d v="2004-05-12T00:00:00"/>
    <m/>
    <s v="14 г. 7 мес. 20 дн."/>
    <x v="0"/>
  </r>
  <r>
    <n v="33"/>
    <s v="КИРЬЯКОВ"/>
    <s v="РАФИК"/>
    <s v="АРКАДЬЕВИЧ"/>
    <d v="1986-04-09T00:00:00"/>
    <x v="1"/>
    <n v="17"/>
    <d v="2003-06-07T00:00:00"/>
    <d v="2009-07-28T00:00:00"/>
    <s v="6 г. 1 мес. 21 дн."/>
    <x v="1"/>
  </r>
  <r>
    <n v="34"/>
    <s v="КИСЕЛЮК"/>
    <s v="ЕВГЕНИЙ"/>
    <s v="ГРАЧИКОВИЧ"/>
    <d v="1986-04-07T00:00:00"/>
    <x v="1"/>
    <n v="13"/>
    <d v="2000-02-28T00:00:00"/>
    <d v="2013-04-20T00:00:00"/>
    <s v="13 г. 1 мес. 23 дн."/>
    <x v="2"/>
  </r>
  <r>
    <n v="35"/>
    <s v="КОЛБ"/>
    <s v="АЛЕКСЕЙ"/>
    <s v="СТЕПАНОВИЧ"/>
    <d v="1987-06-01T00:00:00"/>
    <x v="1"/>
    <n v="13"/>
    <d v="2000-07-16T00:00:00"/>
    <d v="2012-09-29T00:00:00"/>
    <s v="12 г. 2 мес. 13 дн."/>
    <x v="2"/>
  </r>
  <r>
    <n v="36"/>
    <s v="КОНОНЕНКО"/>
    <s v="НИКОЛАЙ"/>
    <s v="ВИКТОРОВИЧ"/>
    <d v="1976-10-23T00:00:00"/>
    <x v="1"/>
    <n v="28"/>
    <d v="2005-02-13T00:00:00"/>
    <d v="2014-03-01T00:00:00"/>
    <s v="9 г. 0 мес. 16 дн."/>
    <x v="6"/>
  </r>
  <r>
    <n v="37"/>
    <s v="КОНОНЕНКО"/>
    <s v="НИНА"/>
    <s v="ИДРИСОВНА"/>
    <d v="1973-12-17T00:00:00"/>
    <x v="0"/>
    <n v="27"/>
    <d v="2001-04-18T00:00:00"/>
    <d v="2004-06-21T00:00:00"/>
    <s v="3 г. 2 мес. 3 дн."/>
    <x v="1"/>
  </r>
  <r>
    <n v="38"/>
    <s v="КРИНИЧНЫЙ"/>
    <s v="УМАРАЛИ"/>
    <s v="АЛЕКСЕЕВИЧ"/>
    <d v="1987-06-18T00:00:00"/>
    <x v="1"/>
    <n v="19"/>
    <d v="2006-09-05T00:00:00"/>
    <m/>
    <s v="12 г. 3 мес. 27 дн."/>
    <x v="0"/>
  </r>
  <r>
    <n v="39"/>
    <s v="ЛЕОНОВ"/>
    <s v="ВЯЧЕСЛАВ"/>
    <s v="КАМИЛОВИЧ"/>
    <d v="1986-06-11T00:00:00"/>
    <x v="1"/>
    <n v="17"/>
    <d v="2003-07-03T00:00:00"/>
    <d v="2001-09-09T00:00:00"/>
    <e v="#NUM!"/>
    <x v="1"/>
  </r>
  <r>
    <n v="40"/>
    <s v="ЛИСЯТИН"/>
    <s v="ВАЛЕНТИН"/>
    <s v="НИКОЛАЕВИЧ"/>
    <d v="1977-07-10T00:00:00"/>
    <x v="1"/>
    <n v="32"/>
    <d v="2010-06-12T00:00:00"/>
    <d v="2014-10-08T00:00:00"/>
    <s v="4 г. 3 мес. 26 дн."/>
    <x v="4"/>
  </r>
  <r>
    <n v="41"/>
    <s v="ЛИТОВЧЕНКО"/>
    <s v="ЛЕОНИД"/>
    <s v="ГАРЕГИНОВИЧ"/>
    <d v="1971-10-30T00:00:00"/>
    <x v="1"/>
    <n v="39"/>
    <d v="2010-11-24T00:00:00"/>
    <d v="2002-09-08T00:00:00"/>
    <e v="#NUM!"/>
    <x v="3"/>
  </r>
  <r>
    <n v="42"/>
    <s v="МАМУКОВ"/>
    <s v="СЕРГЕЙ"/>
    <s v="АНАТОЛЬЕВИЧ"/>
    <d v="1993-06-15T00:00:00"/>
    <x v="1"/>
    <n v="15"/>
    <d v="2009-02-11T00:00:00"/>
    <d v="2010-10-07T00:00:00"/>
    <s v="1 г. 7 мес. 26 дн."/>
    <x v="1"/>
  </r>
  <r>
    <n v="43"/>
    <s v="МАНАСЯН"/>
    <s v="ЛИЛЯ"/>
    <s v="МАТЕВОСОВНА"/>
    <d v="1980-12-20T00:00:00"/>
    <x v="0"/>
    <n v="21"/>
    <d v="2002-03-08T00:00:00"/>
    <d v="2009-05-25T00:00:00"/>
    <s v="7 г. 2 мес. 17 дн."/>
    <x v="6"/>
  </r>
  <r>
    <n v="44"/>
    <s v="МАРДАНЯН"/>
    <s v="ЗИНАИДА"/>
    <s v="НИКОЛАЕВНА"/>
    <d v="1995-10-24T00:00:00"/>
    <x v="0"/>
    <n v="12"/>
    <d v="2007-11-08T00:00:00"/>
    <m/>
    <s v="11 г. 1 мес. 24 дн."/>
    <x v="0"/>
  </r>
  <r>
    <n v="45"/>
    <s v="МАРКЕЛОВ"/>
    <s v="РАВШАН"/>
    <s v="ВАЛЕНТИНОВИЧ"/>
    <d v="1972-09-15T00:00:00"/>
    <x v="1"/>
    <n v="30"/>
    <d v="2002-11-21T00:00:00"/>
    <m/>
    <s v="16 г. 1 мес. 11 дн."/>
    <x v="0"/>
  </r>
  <r>
    <n v="46"/>
    <s v="МАРЧЕНКО"/>
    <s v="ЛАРИСА"/>
    <s v="НИКОЛАЕВНА"/>
    <d v="1982-06-02T00:00:00"/>
    <x v="0"/>
    <n v="20"/>
    <d v="2003-03-17T00:00:00"/>
    <m/>
    <s v="15 г. 9 мес. 15 дн."/>
    <x v="0"/>
  </r>
  <r>
    <n v="47"/>
    <s v="МАТРОСОВА"/>
    <s v="НОНА"/>
    <s v="ДМИТРИЕВНА"/>
    <d v="1988-07-13T00:00:00"/>
    <x v="0"/>
    <n v="14"/>
    <d v="2003-07-09T00:00:00"/>
    <m/>
    <s v="15 г. 5 мес. 23 дн."/>
    <x v="0"/>
  </r>
  <r>
    <n v="48"/>
    <s v="МЕЛИКЯН"/>
    <s v="ГАЛИНА"/>
    <s v="СТЕПАНОВНА"/>
    <d v="1985-12-16T00:00:00"/>
    <x v="0"/>
    <n v="20"/>
    <d v="2006-11-14T00:00:00"/>
    <m/>
    <s v="12 г. 1 мес. 18 дн."/>
    <x v="0"/>
  </r>
  <r>
    <n v="49"/>
    <s v="МЕНТУЗ"/>
    <s v="ЛАРИСА"/>
    <s v="МУРАТОВНА"/>
    <d v="1997-10-24T00:00:00"/>
    <x v="0"/>
    <n v="8"/>
    <d v="2006-09-23T00:00:00"/>
    <d v="2008-02-12T00:00:00"/>
    <s v="1 г. 4 мес. 20 дн."/>
    <x v="2"/>
  </r>
  <r>
    <n v="50"/>
    <s v="МЕНТУЗ"/>
    <s v="ОЛЬГА"/>
    <s v="ГАМАРНИКОВНА"/>
    <d v="1998-07-31T00:00:00"/>
    <x v="0"/>
    <n v="2"/>
    <d v="2001-01-17T00:00:00"/>
    <d v="2005-02-19T00:00:00"/>
    <s v="4 г. 1 мес. 2 дн."/>
    <x v="4"/>
  </r>
  <r>
    <n v="51"/>
    <s v="МИШКОВ"/>
    <s v="АЛЕКСАНДР"/>
    <s v="ХАЙДАРОВИЧ"/>
    <d v="1992-04-03T00:00:00"/>
    <x v="1"/>
    <n v="10"/>
    <d v="2002-11-13T00:00:00"/>
    <d v="2014-04-25T00:00:00"/>
    <s v="11 г. 5 мес. 12 дн."/>
    <x v="5"/>
  </r>
  <r>
    <n v="52"/>
    <s v="МОРЕВА"/>
    <s v="ЯРОСЛАВА"/>
    <s v="АДАМОВНА"/>
    <d v="1976-12-14T00:00:00"/>
    <x v="0"/>
    <n v="25"/>
    <d v="2002-04-30T00:00:00"/>
    <m/>
    <s v="16 г. 8 мес. 2 дн."/>
    <x v="0"/>
  </r>
  <r>
    <n v="53"/>
    <s v="МОСИНЯН"/>
    <s v="ЗОЯ"/>
    <s v="НИКОЛАЕВНА"/>
    <d v="1992-02-21T00:00:00"/>
    <x v="0"/>
    <n v="13"/>
    <d v="2005-04-17T00:00:00"/>
    <d v="2014-02-22T00:00:00"/>
    <s v="8 г. 10 мес. 5 дн."/>
    <x v="2"/>
  </r>
  <r>
    <n v="54"/>
    <s v="МУХАМЕДОВ"/>
    <s v="ГУЛЬМАТ"/>
    <s v="ИЛЛАРИОН ОГЛЫ"/>
    <d v="1978-07-03T00:00:00"/>
    <x v="1"/>
    <n v="32"/>
    <d v="2010-10-04T00:00:00"/>
    <m/>
    <s v="8 г. 2 мес. 28 дн."/>
    <x v="0"/>
  </r>
  <r>
    <n v="55"/>
    <s v="МХИТАРЯН"/>
    <s v="АНЖИК"/>
    <s v="ХАСАНШЕВНА"/>
    <d v="1993-03-01T00:00:00"/>
    <x v="0"/>
    <n v="7"/>
    <d v="2000-08-10T00:00:00"/>
    <d v="2008-01-06T00:00:00"/>
    <s v="7 г. 4 мес. 27 дн."/>
    <x v="2"/>
  </r>
  <r>
    <n v="56"/>
    <s v="ОГАМ"/>
    <s v="ТИХОМИР"/>
    <s v="АЛИМОВИЧ"/>
    <d v="1987-03-02T00:00:00"/>
    <x v="1"/>
    <n v="19"/>
    <d v="2006-08-28T00:00:00"/>
    <m/>
    <s v="12 г. 4 мес. 4 дн."/>
    <x v="0"/>
  </r>
  <r>
    <n v="57"/>
    <s v="ПИНТИЙ"/>
    <s v="ВИКТОР"/>
    <s v="НИКОЛАЕВИЧ"/>
    <d v="1981-09-21T00:00:00"/>
    <x v="1"/>
    <n v="23"/>
    <d v="2005-09-18T00:00:00"/>
    <d v="2010-05-22T00:00:00"/>
    <s v="4 г. 8 мес. 4 дн."/>
    <x v="2"/>
  </r>
  <r>
    <n v="58"/>
    <s v="ПОДГОРНОВА"/>
    <s v="СВЕТЛАНА"/>
    <s v="ВАСИЛЬЕВНА"/>
    <d v="1990-05-24T00:00:00"/>
    <x v="0"/>
    <n v="16"/>
    <d v="2006-11-30T00:00:00"/>
    <m/>
    <s v="12 г. 1 мес. 2 дн."/>
    <x v="0"/>
  </r>
  <r>
    <n v="59"/>
    <s v="ПУШКОВ"/>
    <s v="ВЛАДИМИР"/>
    <s v="МИХАЙЛОВИЧ"/>
    <d v="1988-03-21T00:00:00"/>
    <x v="1"/>
    <n v="15"/>
    <d v="2004-01-17T00:00:00"/>
    <m/>
    <s v="14 г. 11 мес. 15 дн."/>
    <x v="0"/>
  </r>
  <r>
    <n v="60"/>
    <s v="ПШЕНИЦЫН"/>
    <s v="ЮРИЙ"/>
    <s v="АЙВАРОВИЧ"/>
    <d v="1984-05-03T00:00:00"/>
    <x v="1"/>
    <n v="16"/>
    <d v="2000-05-19T00:00:00"/>
    <m/>
    <s v="18 г. 7 мес. 13 дн."/>
    <x v="0"/>
  </r>
  <r>
    <n v="61"/>
    <s v="РАДИОНОВА"/>
    <s v="ЛИДИЯ"/>
    <s v="МИХАЙЛОВНА"/>
    <d v="1971-01-15T00:00:00"/>
    <x v="0"/>
    <n v="37"/>
    <d v="2008-05-22T00:00:00"/>
    <m/>
    <s v="10 г. 7 мес. 10 дн."/>
    <x v="0"/>
  </r>
  <r>
    <n v="62"/>
    <s v="РОМАНЧУК"/>
    <s v="ТАТЬЯНА"/>
    <s v="БАДОРДИНОВНА"/>
    <d v="1997-03-04T00:00:00"/>
    <x v="0"/>
    <n v="5"/>
    <d v="2002-04-04T00:00:00"/>
    <m/>
    <s v="16 г. 8 мес. 28 дн."/>
    <x v="0"/>
  </r>
  <r>
    <n v="63"/>
    <s v="РОМАНЧУК"/>
    <s v="ТАТЬЯНА"/>
    <s v="ВАГАРШАКОВНА"/>
    <d v="1973-09-26T00:00:00"/>
    <x v="0"/>
    <n v="29"/>
    <d v="2003-05-29T00:00:00"/>
    <m/>
    <s v="15 г. 7 мес. 3 дн."/>
    <x v="0"/>
  </r>
  <r>
    <n v="64"/>
    <s v="РОМАШКО"/>
    <s v="ДУСМУРАТ"/>
    <s v="ДЖАМИЛОВИЧ"/>
    <d v="1980-09-13T00:00:00"/>
    <x v="1"/>
    <n v="24"/>
    <d v="2004-12-03T00:00:00"/>
    <d v="2010-09-14T00:00:00"/>
    <s v="5 г. 9 мес. 11 дн."/>
    <x v="2"/>
  </r>
  <r>
    <n v="65"/>
    <s v="РОШЕНКО"/>
    <s v="АНДРАНИК"/>
    <s v="РОМАНОВИЧ"/>
    <d v="1987-06-02T00:00:00"/>
    <x v="1"/>
    <n v="15"/>
    <d v="2003-04-30T00:00:00"/>
    <d v="2009-06-11T00:00:00"/>
    <s v="6 г. 1 мес. 12 дн."/>
    <x v="1"/>
  </r>
  <r>
    <n v="66"/>
    <s v="САМБУЛОВ"/>
    <s v="КАХРАМОНЖОН"/>
    <s v="ГЕННАДЬЕВИЧ"/>
    <d v="1984-06-19T00:00:00"/>
    <x v="1"/>
    <n v="19"/>
    <d v="2003-10-15T00:00:00"/>
    <d v="2008-12-10T00:00:00"/>
    <s v="5 г. 1 мес. 25 дн."/>
    <x v="2"/>
  </r>
  <r>
    <n v="67"/>
    <s v="САМОНДАРОВ"/>
    <s v="МОХАМЕД"/>
    <s v="ВЛАДИМИРОВИЧ"/>
    <d v="1996-02-05T00:00:00"/>
    <x v="1"/>
    <n v="6"/>
    <d v="2002-05-15T00:00:00"/>
    <d v="2007-12-11T00:00:00"/>
    <s v="5 г. 6 мес. 26 дн."/>
    <x v="2"/>
  </r>
  <r>
    <n v="68"/>
    <s v="САРКИСОВА"/>
    <s v="АЛЛА"/>
    <s v="ЭДУАРДОВНА"/>
    <d v="1993-01-29T00:00:00"/>
    <x v="0"/>
    <n v="17"/>
    <d v="2010-02-21T00:00:00"/>
    <d v="2012-12-25T00:00:00"/>
    <s v="2 г. 10 мес. 4 дн."/>
    <x v="5"/>
  </r>
  <r>
    <n v="69"/>
    <s v="СВИРИДОН"/>
    <s v="ДЕНИС"/>
    <s v="ИБРАГИМОВИЧ"/>
    <d v="1971-01-20T00:00:00"/>
    <x v="1"/>
    <n v="32"/>
    <d v="2003-08-17T00:00:00"/>
    <m/>
    <s v="15 г. 4 мес. 15 дн."/>
    <x v="0"/>
  </r>
  <r>
    <n v="70"/>
    <s v="СИТНИКОВ"/>
    <s v="АНАТОЛИЙ"/>
    <s v="СЕРВЕРОВИЧ"/>
    <d v="1975-09-03T00:00:00"/>
    <x v="1"/>
    <n v="34"/>
    <d v="2010-06-07T00:00:00"/>
    <d v="2008-11-17T00:00:00"/>
    <e v="#NUM!"/>
    <x v="3"/>
  </r>
  <r>
    <n v="71"/>
    <s v="СКВОРЦОВА"/>
    <s v="ВЕРА"/>
    <s v="ТЕШАБАЕВНА"/>
    <d v="1995-09-11T00:00:00"/>
    <x v="0"/>
    <n v="8"/>
    <d v="2003-09-14T00:00:00"/>
    <d v="2008-05-14T00:00:00"/>
    <s v="4 г. 8 мес. 0 дн."/>
    <x v="1"/>
  </r>
  <r>
    <n v="72"/>
    <s v="СОН"/>
    <s v="БАХИР"/>
    <s v="ПАВЛОВИЧ"/>
    <d v="1998-08-06T00:00:00"/>
    <x v="1"/>
    <n v="9"/>
    <d v="2008-06-01T00:00:00"/>
    <d v="2008-10-19T00:00:00"/>
    <s v="0 г. 4 мес. 18 дн."/>
    <x v="3"/>
  </r>
  <r>
    <n v="73"/>
    <s v="СТЕПАНЯН"/>
    <s v="АРЕКНАЗ"/>
    <s v="ФИЛИППОВНА"/>
    <d v="1970-08-07T00:00:00"/>
    <x v="0"/>
    <n v="31"/>
    <d v="2002-06-19T00:00:00"/>
    <d v="2013-05-23T00:00:00"/>
    <s v="10 г. 11 мес. 4 дн."/>
    <x v="3"/>
  </r>
  <r>
    <n v="74"/>
    <s v="СТЕПАНЯН"/>
    <s v="ВИКТОР"/>
    <s v="НИКОЛАЕВИЧ"/>
    <d v="1977-12-20T00:00:00"/>
    <x v="1"/>
    <n v="30"/>
    <d v="2007-12-24T00:00:00"/>
    <m/>
    <s v="11 г. 0 мес. 8 дн."/>
    <x v="0"/>
  </r>
  <r>
    <n v="75"/>
    <s v="СТЕПАНЯН"/>
    <s v="ИРИНА"/>
    <s v="НИКОЛАЕВНА"/>
    <d v="1978-07-25T00:00:00"/>
    <x v="0"/>
    <n v="23"/>
    <d v="2001-11-03T00:00:00"/>
    <d v="2011-08-28T00:00:00"/>
    <s v="9 г. 9 мес. 25 дн."/>
    <x v="3"/>
  </r>
  <r>
    <n v="76"/>
    <s v="СТИРАНКА"/>
    <s v="ГОАР"/>
    <s v="СЕРГЕЕВНА"/>
    <d v="1991-03-24T00:00:00"/>
    <x v="0"/>
    <n v="17"/>
    <d v="2009-01-22T00:00:00"/>
    <m/>
    <s v="9 г. 11 мес. 10 дн."/>
    <x v="0"/>
  </r>
  <r>
    <n v="77"/>
    <s v="ТАМУЛЯНИС"/>
    <s v="ЛЕНА"/>
    <s v="МИХАЙЛОВНА"/>
    <d v="1975-05-15T00:00:00"/>
    <x v="0"/>
    <n v="24"/>
    <d v="2000-04-28T00:00:00"/>
    <d v="2012-07-31T00:00:00"/>
    <s v="12 г. 3 мес. 3 дн."/>
    <x v="2"/>
  </r>
  <r>
    <n v="78"/>
    <s v="ТАНЕВ"/>
    <s v="ПАВЕЛ"/>
    <s v="ВАСИЛЬЕВИЧ"/>
    <d v="1995-09-28T00:00:00"/>
    <x v="1"/>
    <n v="8"/>
    <d v="2004-08-15T00:00:00"/>
    <m/>
    <s v="14 г. 4 мес. 17 дн."/>
    <x v="0"/>
  </r>
  <r>
    <n v="79"/>
    <s v="ТЁ"/>
    <s v="АЛЕКСАНДР"/>
    <s v="ЮРЬЕВИЧ"/>
    <d v="1998-06-05T00:00:00"/>
    <x v="1"/>
    <n v="5"/>
    <d v="2003-08-23T00:00:00"/>
    <d v="2014-03-27T00:00:00"/>
    <s v="10 г. 7 мес. 4 дн."/>
    <x v="2"/>
  </r>
  <r>
    <n v="80"/>
    <s v="ТЕЛУШКИН"/>
    <s v="АНДРЕЙ"/>
    <s v="ПРОКОФЬЕВИЧ"/>
    <d v="1995-04-27T00:00:00"/>
    <x v="1"/>
    <n v="14"/>
    <d v="2010-04-17T00:00:00"/>
    <d v="2006-10-18T00:00:00"/>
    <e v="#NUM!"/>
    <x v="2"/>
  </r>
  <r>
    <n v="81"/>
    <s v="ТЕН"/>
    <s v="СВЕТЛАНА"/>
    <s v="ВАСИЛЬЕВНА"/>
    <d v="1998-01-09T00:00:00"/>
    <x v="0"/>
    <n v="5"/>
    <d v="2003-01-20T00:00:00"/>
    <d v="2009-06-23T00:00:00"/>
    <s v="6 г. 5 мес. 3 дн."/>
    <x v="1"/>
  </r>
  <r>
    <n v="82"/>
    <s v="ТОМАШЕВ"/>
    <s v="АРСЕН"/>
    <s v="ПЕТРОВИЧ"/>
    <d v="1989-12-22T00:00:00"/>
    <x v="1"/>
    <n v="17"/>
    <d v="2007-04-04T00:00:00"/>
    <m/>
    <s v="11 г. 8 мес. 28 дн."/>
    <x v="0"/>
  </r>
  <r>
    <n v="83"/>
    <s v="ТРАВКИН"/>
    <s v="ПЁТР"/>
    <s v="ВАЛЕНТИНОВИЧ"/>
    <d v="1997-03-27T00:00:00"/>
    <x v="1"/>
    <n v="7"/>
    <d v="2005-02-16T00:00:00"/>
    <d v="2014-08-02T00:00:00"/>
    <s v="9 г. 5 мес. 17 дн."/>
    <x v="2"/>
  </r>
  <r>
    <n v="84"/>
    <s v="УНАНЯН"/>
    <s v="ДМИТРИЙ"/>
    <s v="ДМИТРИЕВИЧ"/>
    <d v="1996-06-07T00:00:00"/>
    <x v="1"/>
    <n v="5"/>
    <d v="2001-06-22T00:00:00"/>
    <d v="2010-07-28T00:00:00"/>
    <s v="9 г. 1 мес. 6 дн."/>
    <x v="2"/>
  </r>
  <r>
    <n v="85"/>
    <s v="УСМАНОВ"/>
    <s v="ЮРИЙ"/>
    <s v="АЛЕКСАНДРОВИЧ"/>
    <d v="1974-05-24T00:00:00"/>
    <x v="1"/>
    <n v="34"/>
    <d v="2009-01-04T00:00:00"/>
    <m/>
    <s v="9 г. 11 мес. 28 дн."/>
    <x v="0"/>
  </r>
  <r>
    <n v="86"/>
    <s v="ФАТТАХОВА"/>
    <s v="МИНСЛУ"/>
    <s v="КОНСТАНТИНОВНА"/>
    <d v="1977-02-12T00:00:00"/>
    <x v="0"/>
    <n v="27"/>
    <d v="2004-06-07T00:00:00"/>
    <m/>
    <s v="14 г. 6 мес. 25 дн."/>
    <x v="0"/>
  </r>
  <r>
    <n v="87"/>
    <s v="ХАЛИЛОВА"/>
    <s v="ФАРИДА"/>
    <s v="АЛЕКСАНДРОВНА"/>
    <d v="1975-12-01T00:00:00"/>
    <x v="0"/>
    <n v="24"/>
    <d v="2000-01-19T00:00:00"/>
    <m/>
    <s v="18 г. 11 мес. 13 дн."/>
    <x v="0"/>
  </r>
  <r>
    <n v="88"/>
    <s v="ХОМЕНКО"/>
    <s v="ВЛАДИМИР"/>
    <s v="МУТАЛИБОВИЧ"/>
    <d v="1971-05-31T00:00:00"/>
    <x v="1"/>
    <n v="37"/>
    <d v="2009-02-11T00:00:00"/>
    <d v="2014-06-23T00:00:00"/>
    <s v="5 г. 4 мес. 12 дн."/>
    <x v="3"/>
  </r>
  <r>
    <n v="89"/>
    <s v="ЦОЛОЛО"/>
    <s v="АЛЕКСАНДР"/>
    <s v="ФУАТОВИЧ"/>
    <d v="1987-02-19T00:00:00"/>
    <x v="1"/>
    <n v="13"/>
    <d v="2000-07-11T00:00:00"/>
    <m/>
    <s v="18 г. 5 мес. 21 дн."/>
    <x v="0"/>
  </r>
  <r>
    <n v="90"/>
    <s v="ЧЕРВИНЧУК"/>
    <s v="ДАМИР"/>
    <s v="ИВАНОВИЧ"/>
    <d v="1978-07-20T00:00:00"/>
    <x v="1"/>
    <n v="28"/>
    <d v="2006-12-29T00:00:00"/>
    <d v="2003-11-14T00:00:00"/>
    <e v="#NUM!"/>
    <x v="3"/>
  </r>
  <r>
    <n v="91"/>
    <s v="ЧОБАНЯН"/>
    <s v="АЛЕКСАНДР"/>
    <s v="ТОЛИБОВИЧ"/>
    <d v="1978-07-23T00:00:00"/>
    <x v="1"/>
    <n v="26"/>
    <d v="2005-02-04T00:00:00"/>
    <d v="2013-11-25T00:00:00"/>
    <s v="8 г. 9 мес. 21 дн."/>
    <x v="2"/>
  </r>
  <r>
    <n v="92"/>
    <s v="ШЕВКОПЛЯС"/>
    <s v="ВЛАДИМИР"/>
    <s v="НИКОЛАЕВИЧ"/>
    <d v="1971-01-09T00:00:00"/>
    <x v="1"/>
    <n v="38"/>
    <d v="2009-05-15T00:00:00"/>
    <d v="2015-10-23T00:00:00"/>
    <s v="6 г. 5 мес. 8 дн."/>
    <x v="4"/>
  </r>
  <r>
    <n v="93"/>
    <s v="ШЕВКОПЛЯС"/>
    <s v="ГАЛИНА"/>
    <s v="СЕРГЕЕВНА"/>
    <d v="1998-07-15T00:00:00"/>
    <x v="0"/>
    <n v="11"/>
    <d v="2009-07-27T00:00:00"/>
    <m/>
    <s v="9 г. 5 мес. 5 дн."/>
    <x v="0"/>
  </r>
  <r>
    <n v="94"/>
    <s v="ШЕЙНИНА"/>
    <s v="ФЛЮРА"/>
    <s v="АЛЕКСАНДРОВНА"/>
    <d v="1976-07-02T00:00:00"/>
    <x v="0"/>
    <n v="27"/>
    <d v="2003-12-28T00:00:00"/>
    <d v="2010-09-28T00:00:00"/>
    <s v="6 г. 9 мес. 0 дн."/>
    <x v="1"/>
  </r>
  <r>
    <n v="95"/>
    <s v="ШЕСТАКОВ"/>
    <s v="НИКОЛАЙ"/>
    <s v="ВЛАДИМИРОВИЧ"/>
    <d v="1984-07-03T00:00:00"/>
    <x v="1"/>
    <n v="25"/>
    <d v="2009-11-27T00:00:00"/>
    <d v="2011-04-17T00:00:00"/>
    <s v="1 г. 4 мес. 21 дн."/>
    <x v="3"/>
  </r>
  <r>
    <n v="96"/>
    <s v="ШИДЛОВСКАЯ"/>
    <s v="ЕВГЕНИЯ"/>
    <s v="ПАТВАКАНОВНА"/>
    <d v="1987-01-08T00:00:00"/>
    <x v="0"/>
    <n v="18"/>
    <d v="2005-10-13T00:00:00"/>
    <d v="2012-11-10T00:00:00"/>
    <s v="7 г. 0 мес. 28 дн."/>
    <x v="2"/>
  </r>
  <r>
    <n v="97"/>
    <s v="ШИН"/>
    <s v="НУВАХИДИЯ"/>
    <s v="ДАВИДОВНА"/>
    <d v="1975-04-09T00:00:00"/>
    <x v="0"/>
    <n v="34"/>
    <d v="2009-04-10T00:00:00"/>
    <m/>
    <s v="9 г. 8 мес. 22 дн."/>
    <x v="0"/>
  </r>
  <r>
    <n v="98"/>
    <s v="ШУБИНА"/>
    <s v="ЛЮБОВЬ"/>
    <s v="ЛЕОНИДОВНА"/>
    <d v="1982-08-21T00:00:00"/>
    <x v="0"/>
    <n v="23"/>
    <d v="2006-06-09T00:00:00"/>
    <d v="2010-01-15T00:00:00"/>
    <s v="3 г. 7 мес. 6 дн."/>
    <x v="1"/>
  </r>
  <r>
    <n v="99"/>
    <s v="ЮНУСОВА"/>
    <s v="АЛВАРД"/>
    <s v="ЮРЬЕВНА"/>
    <d v="1990-09-16T00:00:00"/>
    <x v="0"/>
    <n v="16"/>
    <d v="2007-01-16T00:00:00"/>
    <m/>
    <s v="11 г. 11 мес. 16 дн."/>
    <x v="0"/>
  </r>
  <r>
    <n v="100"/>
    <s v="ЯКУБОВИЧ"/>
    <s v="АЛЕКСАНДР"/>
    <s v="ХАЛИМОВИЧ"/>
    <d v="1970-03-30T00:00:00"/>
    <x v="1"/>
    <n v="35"/>
    <d v="2005-05-02T00:00:00"/>
    <d v="2007-02-15T00:00:00"/>
    <s v="1 г. 9 мес. 13 дн.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" cacheId="0" applyNumberFormats="0" applyBorderFormats="0" applyFontFormats="0" applyPatternFormats="0" applyAlignmentFormats="0" applyWidthHeightFormats="1" dataCaption="Значения" updatedVersion="6" minRefreshableVersion="3" showDrill="0" showDataTips="0" useAutoFormatting="1" itemPrintTitles="1" createdVersion="5" indent="0" showHeaders="0" outline="1" outlineData="1" multipleFieldFilters="0" chartFormat="2">
  <location ref="B3:E11" firstHeaderRow="1" firstDataRow="2" firstDataCol="1"/>
  <pivotFields count="11">
    <pivotField showAll="0"/>
    <pivotField showAll="0"/>
    <pivotField showAll="0"/>
    <pivotField showAll="0"/>
    <pivotField numFmtId="14" showAll="0"/>
    <pivotField axis="axisCol" showAll="0">
      <items count="3">
        <item x="0"/>
        <item x="1"/>
        <item t="default"/>
      </items>
    </pivotField>
    <pivotField showAll="0"/>
    <pivotField numFmtId="14" showAll="0"/>
    <pivotField showAll="0"/>
    <pivotField showAll="0"/>
    <pivotField axis="axisRow" dataField="1" showAll="0">
      <items count="8">
        <item x="6"/>
        <item x="3"/>
        <item x="4"/>
        <item x="2"/>
        <item x="1"/>
        <item h="1" x="0"/>
        <item x="5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6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Количество по полю Причина увольнения" fld="1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Таблица1" displayName="Таблица1" ref="B16:L116" totalsRowShown="0" headerRowDxfId="12" tableBorderDxfId="11">
  <autoFilter ref="B16:L116"/>
  <tableColumns count="11">
    <tableColumn id="1" name="№ п/п" dataDxfId="10"/>
    <tableColumn id="2" name="фамилия" dataDxfId="0"/>
    <tableColumn id="3" name="имя" dataDxfId="9"/>
    <tableColumn id="4" name="отчество" dataDxfId="8"/>
    <tableColumn id="5" name="Дата рождения" dataDxfId="7"/>
    <tableColumn id="6" name="Пол" dataDxfId="6">
      <calculatedColumnFormula>IF(OR(RIGHT(E17)="ч",RIGHT(E17,4)="ОГЛЫ"),"мужской",IF(OR(RIGHT(E17)="а",RIGHT(E17,4)="КЫЗЫ"),"женский"))</calculatedColumnFormula>
    </tableColumn>
    <tableColumn id="7" name="Возраст на дату приема" dataDxfId="5">
      <calculatedColumnFormula>DATEDIF(F17,I17,"Y")</calculatedColumnFormula>
    </tableColumn>
    <tableColumn id="8" name="Дата приема" dataDxfId="4"/>
    <tableColumn id="9" name="Дата увольнения" dataDxfId="3"/>
    <tableColumn id="10" name="Стаж" dataDxfId="2">
      <calculatedColumnFormula>CONCATENATE(IF(J17="",DATEDIF(I17,$F$13,"Y"),DATEDIF(I17,J17,"Y")), " г. ", IF(J17="",DATEDIF(I17,$F$13,"YM"),DATEDIF(I17,J17,"YM")), " мес. ", IF(J17="",DATEDIF(I17,$F$13,"MD"),DATEDIF(I17,J17,"MD")), " дн.")</calculatedColumnFormula>
    </tableColumn>
    <tableColumn id="11" name="Причина увольнения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116"/>
  <sheetViews>
    <sheetView tabSelected="1" workbookViewId="0">
      <selection activeCell="N16" sqref="N16"/>
    </sheetView>
  </sheetViews>
  <sheetFormatPr defaultRowHeight="12.75" x14ac:dyDescent="0.2"/>
  <cols>
    <col min="1" max="1" width="5" style="2" customWidth="1"/>
    <col min="2" max="2" width="8" style="1" customWidth="1"/>
    <col min="3" max="3" width="41.85546875" style="2" customWidth="1"/>
    <col min="4" max="4" width="18.140625" style="2" customWidth="1"/>
    <col min="5" max="5" width="17.5703125" style="2" customWidth="1"/>
    <col min="6" max="6" width="15.42578125" style="1" customWidth="1"/>
    <col min="7" max="7" width="8.7109375" style="1" customWidth="1"/>
    <col min="8" max="8" width="22" style="1" customWidth="1"/>
    <col min="9" max="9" width="13.28515625" style="1" customWidth="1"/>
    <col min="10" max="10" width="17" style="1" customWidth="1"/>
    <col min="11" max="11" width="16.7109375" style="1" customWidth="1"/>
    <col min="12" max="12" width="23" style="2" customWidth="1"/>
    <col min="13" max="13" width="10.5703125" style="2" customWidth="1"/>
    <col min="14" max="14" width="24.42578125" style="2" customWidth="1"/>
    <col min="15" max="16384" width="9.140625" style="2"/>
  </cols>
  <sheetData>
    <row r="1" spans="1:14" ht="15" customHeight="1" x14ac:dyDescent="0.2">
      <c r="A1" s="39" t="s">
        <v>31</v>
      </c>
      <c r="B1" s="39"/>
      <c r="C1" s="39"/>
      <c r="D1" s="39"/>
      <c r="E1" s="39"/>
      <c r="F1" s="39"/>
      <c r="G1" s="39"/>
      <c r="J1" s="2"/>
      <c r="K1" s="2"/>
    </row>
    <row r="2" spans="1:14" s="4" customFormat="1" ht="15" customHeight="1" x14ac:dyDescent="0.25">
      <c r="A2" s="39"/>
      <c r="B2" s="39"/>
      <c r="C2" s="39"/>
      <c r="D2" s="39"/>
      <c r="E2" s="39"/>
      <c r="F2" s="39"/>
      <c r="G2" s="39"/>
      <c r="H2" s="21"/>
      <c r="I2" s="2"/>
      <c r="J2" s="6" t="s">
        <v>11</v>
      </c>
      <c r="K2" s="2"/>
    </row>
    <row r="3" spans="1:14" s="4" customFormat="1" ht="15" x14ac:dyDescent="0.25">
      <c r="A3" s="39"/>
      <c r="B3" s="39"/>
      <c r="C3" s="39"/>
      <c r="D3" s="39"/>
      <c r="E3" s="39"/>
      <c r="F3" s="39"/>
      <c r="G3" s="39"/>
      <c r="H3" s="21"/>
      <c r="I3" s="7" t="s">
        <v>14</v>
      </c>
      <c r="J3" s="43" t="s">
        <v>21</v>
      </c>
      <c r="K3" s="44"/>
      <c r="L3" s="44"/>
      <c r="M3" s="45"/>
      <c r="N3" s="7" t="s">
        <v>22</v>
      </c>
    </row>
    <row r="4" spans="1:14" s="4" customFormat="1" ht="15" x14ac:dyDescent="0.25">
      <c r="A4" s="39"/>
      <c r="B4" s="39"/>
      <c r="C4" s="39"/>
      <c r="D4" s="39"/>
      <c r="E4" s="39"/>
      <c r="F4" s="39"/>
      <c r="G4" s="39"/>
      <c r="H4" s="21"/>
      <c r="I4" s="7">
        <v>1</v>
      </c>
      <c r="J4" s="46" t="s">
        <v>28</v>
      </c>
      <c r="K4" s="47"/>
      <c r="L4" s="47"/>
      <c r="M4" s="48"/>
      <c r="N4" s="7">
        <f xml:space="preserve"> COUNTBLANK(J17:J116)</f>
        <v>39</v>
      </c>
    </row>
    <row r="5" spans="1:14" s="4" customFormat="1" ht="15" customHeight="1" x14ac:dyDescent="0.25">
      <c r="A5" s="39"/>
      <c r="B5" s="39"/>
      <c r="C5" s="39"/>
      <c r="D5" s="39"/>
      <c r="E5" s="39"/>
      <c r="F5" s="39"/>
      <c r="G5" s="39"/>
      <c r="H5" s="21"/>
      <c r="I5" s="7">
        <v>2</v>
      </c>
      <c r="J5" s="46" t="s">
        <v>29</v>
      </c>
      <c r="K5" s="47"/>
      <c r="L5" s="47"/>
      <c r="M5" s="48"/>
      <c r="N5" s="7">
        <f>COUNTA(J17:J116)</f>
        <v>61</v>
      </c>
    </row>
    <row r="6" spans="1:14" s="4" customFormat="1" ht="15" x14ac:dyDescent="0.25">
      <c r="A6" s="39"/>
      <c r="B6" s="39"/>
      <c r="C6" s="39"/>
      <c r="D6" s="39"/>
      <c r="E6" s="39"/>
      <c r="F6" s="39"/>
      <c r="G6" s="39"/>
      <c r="H6" s="21"/>
      <c r="I6" s="7">
        <v>3</v>
      </c>
      <c r="J6" s="46" t="s">
        <v>30</v>
      </c>
      <c r="K6" s="47"/>
      <c r="L6" s="47"/>
      <c r="M6" s="48"/>
      <c r="N6" s="7">
        <f>COUNTIF(J17:J116, "&lt;01.01.2015")</f>
        <v>56</v>
      </c>
    </row>
    <row r="7" spans="1:14" s="4" customFormat="1" ht="15" x14ac:dyDescent="0.25">
      <c r="A7" s="39"/>
      <c r="B7" s="39"/>
      <c r="C7" s="39"/>
      <c r="D7" s="39"/>
      <c r="E7" s="39"/>
      <c r="F7" s="39"/>
      <c r="G7" s="39"/>
      <c r="H7" s="21"/>
      <c r="I7" s="7">
        <v>4</v>
      </c>
      <c r="J7" s="49" t="s">
        <v>12</v>
      </c>
      <c r="K7" s="50"/>
      <c r="L7" s="50"/>
      <c r="M7" s="51"/>
      <c r="N7" s="7">
        <f>ROUND(AVERAGE(H17:H116),0)</f>
        <v>19</v>
      </c>
    </row>
    <row r="8" spans="1:14" s="4" customFormat="1" ht="15" x14ac:dyDescent="0.25">
      <c r="A8" s="39"/>
      <c r="B8" s="39"/>
      <c r="C8" s="39"/>
      <c r="D8" s="39"/>
      <c r="E8" s="39"/>
      <c r="F8" s="39"/>
      <c r="G8" s="39"/>
      <c r="H8" s="21"/>
      <c r="I8" s="7">
        <v>5</v>
      </c>
      <c r="J8" s="46" t="s">
        <v>13</v>
      </c>
      <c r="K8" s="47"/>
      <c r="L8" s="47"/>
      <c r="M8" s="48"/>
      <c r="N8" s="7" t="str">
        <f>IF(COUNTIFS(G17:G116, "женский", J17:J116, "&lt;&gt;")&gt;COUNTIFS(G17:G116, "мужской", J17:J116, "&lt;&gt;"),"женского","мужского")</f>
        <v>мужского</v>
      </c>
    </row>
    <row r="9" spans="1:14" s="4" customFormat="1" ht="12.75" customHeight="1" x14ac:dyDescent="0.25">
      <c r="A9" s="39"/>
      <c r="B9" s="39"/>
      <c r="C9" s="39"/>
      <c r="D9" s="39"/>
      <c r="E9" s="39"/>
      <c r="F9" s="39"/>
      <c r="G9" s="39"/>
      <c r="H9" s="21"/>
      <c r="I9" s="7">
        <v>6</v>
      </c>
      <c r="J9" s="40" t="s">
        <v>23</v>
      </c>
      <c r="K9" s="41"/>
      <c r="L9" s="41"/>
      <c r="M9" s="42"/>
      <c r="N9" s="8">
        <f>COUNTIF(C17:C116,"М*")</f>
        <v>14</v>
      </c>
    </row>
    <row r="10" spans="1:14" s="4" customFormat="1" ht="15.75" customHeight="1" x14ac:dyDescent="0.25">
      <c r="A10" s="39"/>
      <c r="B10" s="39"/>
      <c r="C10" s="39"/>
      <c r="D10" s="39"/>
      <c r="E10" s="39"/>
      <c r="F10" s="39"/>
      <c r="G10" s="39"/>
      <c r="H10" s="21"/>
      <c r="I10" s="7">
        <v>7</v>
      </c>
      <c r="J10" s="52" t="s">
        <v>24</v>
      </c>
      <c r="K10" s="53"/>
      <c r="L10" s="53"/>
      <c r="M10" s="54"/>
      <c r="N10" s="8">
        <f>COUNTA(СводнаяТаблица!B5:B10)</f>
        <v>6</v>
      </c>
    </row>
    <row r="11" spans="1:14" s="4" customFormat="1" ht="15" x14ac:dyDescent="0.25">
      <c r="A11" s="39"/>
      <c r="B11" s="39"/>
      <c r="C11" s="39"/>
      <c r="D11" s="39"/>
      <c r="E11" s="39"/>
      <c r="F11" s="39"/>
      <c r="G11" s="39"/>
      <c r="H11" s="21"/>
      <c r="I11" s="7">
        <v>8</v>
      </c>
      <c r="J11" s="46" t="s">
        <v>20</v>
      </c>
      <c r="K11" s="47"/>
      <c r="L11" s="47"/>
      <c r="M11" s="48"/>
      <c r="N11" s="7"/>
    </row>
    <row r="12" spans="1:14" s="4" customFormat="1" ht="13.5" customHeight="1" x14ac:dyDescent="0.25">
      <c r="B12" s="3"/>
      <c r="F12" s="5"/>
      <c r="G12" s="5"/>
      <c r="H12" s="5"/>
      <c r="I12" s="5"/>
    </row>
    <row r="13" spans="1:14" s="4" customFormat="1" ht="15" x14ac:dyDescent="0.25">
      <c r="B13" s="3"/>
      <c r="C13" s="9" t="s">
        <v>10</v>
      </c>
      <c r="F13" s="10">
        <v>43466</v>
      </c>
      <c r="G13" s="5"/>
      <c r="H13" s="11"/>
      <c r="I13" s="5"/>
      <c r="J13" s="5"/>
      <c r="K13" s="5"/>
    </row>
    <row r="16" spans="1:14" ht="25.5" customHeight="1" x14ac:dyDescent="0.2">
      <c r="B16" s="32" t="s">
        <v>0</v>
      </c>
      <c r="C16" s="34" t="s">
        <v>3</v>
      </c>
      <c r="D16" s="35" t="s">
        <v>4</v>
      </c>
      <c r="E16" s="32" t="s">
        <v>5</v>
      </c>
      <c r="F16" s="33" t="s">
        <v>7</v>
      </c>
      <c r="G16" s="33" t="s">
        <v>8</v>
      </c>
      <c r="H16" s="33" t="s">
        <v>9</v>
      </c>
      <c r="I16" s="33" t="s">
        <v>1</v>
      </c>
      <c r="J16" s="33" t="s">
        <v>2</v>
      </c>
      <c r="K16" s="33" t="s">
        <v>6</v>
      </c>
      <c r="L16" s="34" t="s">
        <v>15</v>
      </c>
    </row>
    <row r="17" spans="2:12" s="16" customFormat="1" x14ac:dyDescent="0.25">
      <c r="B17" s="25">
        <v>1</v>
      </c>
      <c r="C17" s="56" t="s">
        <v>37</v>
      </c>
      <c r="D17" s="14"/>
      <c r="E17" s="13"/>
      <c r="F17" s="15">
        <v>32699</v>
      </c>
      <c r="G17" s="12" t="b">
        <f>IF(OR(RIGHT(E17)="ч",RIGHT(E17,4)="ОГЛЫ"),"мужской",IF(OR(RIGHT(E17)="а",RIGHT(E17,4)="КЫЗЫ"),"женский"))</f>
        <v>0</v>
      </c>
      <c r="H17" s="12">
        <f>DATEDIF(F17,I17,"Y")</f>
        <v>18</v>
      </c>
      <c r="I17" s="15">
        <v>39338</v>
      </c>
      <c r="J17" s="15"/>
      <c r="K17" s="22" t="str">
        <f>CONCATENATE(IF(J17="",DATEDIF(I17,$F$13,"Y"),DATEDIF(I17,J17,"Y")), " г. ", IF(J17="",DATEDIF(I17,$F$13,"YM"),DATEDIF(I17,J17,"YM")), " мес. ", IF(J17="",DATEDIF(I17,$F$13,"MD"),DATEDIF(I17,J17,"MD")), " дн.")</f>
        <v>11 г. 3 мес. 19 дн.</v>
      </c>
      <c r="L17" s="23" t="s">
        <v>27</v>
      </c>
    </row>
    <row r="18" spans="2:12" s="16" customFormat="1" x14ac:dyDescent="0.25">
      <c r="B18" s="24">
        <v>2</v>
      </c>
      <c r="C18" s="56" t="s">
        <v>38</v>
      </c>
      <c r="D18" s="17"/>
      <c r="E18" s="17"/>
      <c r="F18" s="18">
        <v>32187</v>
      </c>
      <c r="G18" s="12" t="b">
        <f t="shared" ref="G18:G81" si="0">IF(OR(RIGHT(E18)="ч",RIGHT(E18,4)="ОГЛЫ"),"мужской",IF(OR(RIGHT(E18)="а",RIGHT(E18,4)="КЫЗЫ"),"женский"))</f>
        <v>0</v>
      </c>
      <c r="H18" s="12">
        <f t="shared" ref="H18:H81" si="1">DATEDIF(F18,I18,"Y")</f>
        <v>17</v>
      </c>
      <c r="I18" s="18">
        <v>38569</v>
      </c>
      <c r="J18" s="18">
        <v>39991</v>
      </c>
      <c r="K18" s="22" t="str">
        <f>CONCATENATE(IF(J18="",DATEDIF(I18,$F$13,"Y"),DATEDIF(I18,J18,"Y")), " г. ", IF(J18="",DATEDIF(I18,$F$13,"YM"),DATEDIF(I18,J18,"YM")), " мес. ", IF(J18="",DATEDIF(I18,$F$13,"MD"),DATEDIF(I18,J18,"MD")), " дн.")</f>
        <v>3 г. 10 мес. 22 дн.</v>
      </c>
      <c r="L18" s="23" t="s">
        <v>16</v>
      </c>
    </row>
    <row r="19" spans="2:12" s="16" customFormat="1" x14ac:dyDescent="0.25">
      <c r="B19" s="24">
        <v>3</v>
      </c>
      <c r="C19" s="56" t="s">
        <v>39</v>
      </c>
      <c r="D19" s="19"/>
      <c r="E19" s="17"/>
      <c r="F19" s="18">
        <v>34192</v>
      </c>
      <c r="G19" s="12" t="b">
        <f t="shared" si="0"/>
        <v>0</v>
      </c>
      <c r="H19" s="12">
        <f t="shared" si="1"/>
        <v>13</v>
      </c>
      <c r="I19" s="18">
        <v>39194</v>
      </c>
      <c r="J19" s="18">
        <v>42645</v>
      </c>
      <c r="K19" s="22" t="str">
        <f>CONCATENATE(IF(J19="",DATEDIF(I19,$F$13,"Y"),DATEDIF(I19,J19,"Y")), " г. ", IF(J19="",DATEDIF(I19,$F$13,"YM"),DATEDIF(I19,J19,"YM")), " мес. ", IF(J19="",DATEDIF(I19,$F$13,"MD"),DATEDIF(I19,J19,"MD")), " дн.")</f>
        <v>9 г. 5 мес. 10 дн.</v>
      </c>
      <c r="L19" s="23" t="s">
        <v>25</v>
      </c>
    </row>
    <row r="20" spans="2:12" s="16" customFormat="1" x14ac:dyDescent="0.25">
      <c r="B20" s="24">
        <v>4</v>
      </c>
      <c r="C20" s="56" t="s">
        <v>40</v>
      </c>
      <c r="D20" s="19"/>
      <c r="E20" s="17"/>
      <c r="F20" s="18">
        <v>34573</v>
      </c>
      <c r="G20" s="12" t="b">
        <f t="shared" si="0"/>
        <v>0</v>
      </c>
      <c r="H20" s="12">
        <f t="shared" si="1"/>
        <v>15</v>
      </c>
      <c r="I20" s="18">
        <v>40372</v>
      </c>
      <c r="J20" s="18">
        <v>41166</v>
      </c>
      <c r="K20" s="22" t="str">
        <f t="shared" ref="K20:K82" si="2">CONCATENATE(IF(J20="",DATEDIF(I20,$F$13,"Y"),DATEDIF(I20,J20,"Y")), " г. ", IF(J20="",DATEDIF(I20,$F$13,"YM"),DATEDIF(I20,J20,"YM")), " мес. ", IF(J20="",DATEDIF(I20,$F$13,"MD"),DATEDIF(I20,J20,"MD")), " дн.")</f>
        <v>2 г. 2 мес. 1 дн.</v>
      </c>
      <c r="L20" s="23" t="s">
        <v>16</v>
      </c>
    </row>
    <row r="21" spans="2:12" s="16" customFormat="1" x14ac:dyDescent="0.25">
      <c r="B21" s="24">
        <v>5</v>
      </c>
      <c r="C21" s="56" t="s">
        <v>41</v>
      </c>
      <c r="D21" s="19"/>
      <c r="E21" s="17"/>
      <c r="F21" s="18">
        <v>34914</v>
      </c>
      <c r="G21" s="12" t="b">
        <f t="shared" si="0"/>
        <v>0</v>
      </c>
      <c r="H21" s="12">
        <f t="shared" si="1"/>
        <v>8</v>
      </c>
      <c r="I21" s="18">
        <v>37983</v>
      </c>
      <c r="J21" s="18"/>
      <c r="K21" s="22" t="str">
        <f t="shared" si="2"/>
        <v>15 г. 0 мес. 4 дн.</v>
      </c>
      <c r="L21" s="23" t="s">
        <v>27</v>
      </c>
    </row>
    <row r="22" spans="2:12" s="16" customFormat="1" ht="12.75" customHeight="1" x14ac:dyDescent="0.25">
      <c r="B22" s="24">
        <v>6</v>
      </c>
      <c r="C22" s="56" t="s">
        <v>42</v>
      </c>
      <c r="D22" s="17"/>
      <c r="E22" s="19"/>
      <c r="F22" s="18">
        <v>34483</v>
      </c>
      <c r="G22" s="12" t="b">
        <f t="shared" si="0"/>
        <v>0</v>
      </c>
      <c r="H22" s="12">
        <f t="shared" si="1"/>
        <v>11</v>
      </c>
      <c r="I22" s="18">
        <v>38762</v>
      </c>
      <c r="J22" s="18">
        <v>40884</v>
      </c>
      <c r="K22" s="22" t="str">
        <f t="shared" si="2"/>
        <v>5 г. 9 мес. 23 дн.</v>
      </c>
      <c r="L22" s="23" t="s">
        <v>25</v>
      </c>
    </row>
    <row r="23" spans="2:12" s="16" customFormat="1" x14ac:dyDescent="0.25">
      <c r="B23" s="24">
        <v>7</v>
      </c>
      <c r="C23" s="56" t="s">
        <v>43</v>
      </c>
      <c r="D23" s="17"/>
      <c r="E23" s="17"/>
      <c r="F23" s="18">
        <v>30488</v>
      </c>
      <c r="G23" s="12" t="b">
        <f t="shared" si="0"/>
        <v>0</v>
      </c>
      <c r="H23" s="12">
        <f t="shared" si="1"/>
        <v>25</v>
      </c>
      <c r="I23" s="18">
        <v>39786</v>
      </c>
      <c r="J23" s="18">
        <v>40899</v>
      </c>
      <c r="K23" s="22" t="str">
        <f t="shared" si="2"/>
        <v>3 г. 0 мес. 18 дн.</v>
      </c>
      <c r="L23" s="23" t="s">
        <v>25</v>
      </c>
    </row>
    <row r="24" spans="2:12" s="16" customFormat="1" ht="12.75" customHeight="1" x14ac:dyDescent="0.25">
      <c r="B24" s="24">
        <v>8</v>
      </c>
      <c r="C24" s="56" t="s">
        <v>44</v>
      </c>
      <c r="D24" s="17"/>
      <c r="E24" s="17"/>
      <c r="F24" s="18">
        <v>27496</v>
      </c>
      <c r="G24" s="12" t="b">
        <f t="shared" si="0"/>
        <v>0</v>
      </c>
      <c r="H24" s="12">
        <f t="shared" si="1"/>
        <v>33</v>
      </c>
      <c r="I24" s="18">
        <v>39750</v>
      </c>
      <c r="J24" s="18">
        <v>40441</v>
      </c>
      <c r="K24" s="22" t="str">
        <f t="shared" si="2"/>
        <v>1 г. 10 мес. 22 дн.</v>
      </c>
      <c r="L24" s="23" t="s">
        <v>26</v>
      </c>
    </row>
    <row r="25" spans="2:12" s="16" customFormat="1" x14ac:dyDescent="0.25">
      <c r="B25" s="24">
        <v>9</v>
      </c>
      <c r="C25" s="56" t="s">
        <v>45</v>
      </c>
      <c r="D25" s="19"/>
      <c r="E25" s="19"/>
      <c r="F25" s="18">
        <v>26679</v>
      </c>
      <c r="G25" s="12" t="b">
        <f t="shared" si="0"/>
        <v>0</v>
      </c>
      <c r="H25" s="12">
        <f t="shared" si="1"/>
        <v>35</v>
      </c>
      <c r="I25" s="18">
        <v>39755</v>
      </c>
      <c r="J25" s="18"/>
      <c r="K25" s="22" t="str">
        <f t="shared" si="2"/>
        <v>10 г. 1 мес. 29 дн.</v>
      </c>
      <c r="L25" s="23" t="s">
        <v>27</v>
      </c>
    </row>
    <row r="26" spans="2:12" s="16" customFormat="1" x14ac:dyDescent="0.25">
      <c r="B26" s="24">
        <v>10</v>
      </c>
      <c r="C26" s="56" t="s">
        <v>46</v>
      </c>
      <c r="D26" s="17"/>
      <c r="E26" s="17"/>
      <c r="F26" s="18">
        <v>25802</v>
      </c>
      <c r="G26" s="12" t="b">
        <f t="shared" si="0"/>
        <v>0</v>
      </c>
      <c r="H26" s="12">
        <f t="shared" si="1"/>
        <v>35</v>
      </c>
      <c r="I26" s="18">
        <v>38938</v>
      </c>
      <c r="J26" s="18"/>
      <c r="K26" s="22" t="str">
        <f t="shared" si="2"/>
        <v>12 г. 4 мес. 23 дн.</v>
      </c>
      <c r="L26" s="23" t="s">
        <v>27</v>
      </c>
    </row>
    <row r="27" spans="2:12" s="16" customFormat="1" x14ac:dyDescent="0.25">
      <c r="B27" s="24">
        <v>11</v>
      </c>
      <c r="C27" s="56" t="s">
        <v>47</v>
      </c>
      <c r="D27" s="17"/>
      <c r="E27" s="17"/>
      <c r="F27" s="18">
        <v>34412</v>
      </c>
      <c r="G27" s="12" t="b">
        <f t="shared" si="0"/>
        <v>0</v>
      </c>
      <c r="H27" s="12">
        <f t="shared" si="1"/>
        <v>10</v>
      </c>
      <c r="I27" s="18">
        <v>38362</v>
      </c>
      <c r="J27" s="18">
        <v>42059</v>
      </c>
      <c r="K27" s="22" t="str">
        <f t="shared" si="2"/>
        <v>10 г. 1 мес. 14 дн.</v>
      </c>
      <c r="L27" s="23" t="s">
        <v>25</v>
      </c>
    </row>
    <row r="28" spans="2:12" s="16" customFormat="1" x14ac:dyDescent="0.25">
      <c r="B28" s="24">
        <v>12</v>
      </c>
      <c r="C28" s="56" t="s">
        <v>48</v>
      </c>
      <c r="D28" s="19"/>
      <c r="E28" s="17"/>
      <c r="F28" s="18">
        <v>27354</v>
      </c>
      <c r="G28" s="12" t="b">
        <f t="shared" si="0"/>
        <v>0</v>
      </c>
      <c r="H28" s="12">
        <f>DATEDIF(F28,I28,"Y")</f>
        <v>29</v>
      </c>
      <c r="I28" s="18">
        <v>38231</v>
      </c>
      <c r="J28" s="18"/>
      <c r="K28" s="22" t="str">
        <f t="shared" si="2"/>
        <v>14 г. 4 мес. 0 дн.</v>
      </c>
      <c r="L28" s="23" t="s">
        <v>27</v>
      </c>
    </row>
    <row r="29" spans="2:12" s="16" customFormat="1" x14ac:dyDescent="0.25">
      <c r="B29" s="24">
        <v>13</v>
      </c>
      <c r="C29" s="56" t="s">
        <v>49</v>
      </c>
      <c r="D29" s="17"/>
      <c r="E29" s="19"/>
      <c r="F29" s="18">
        <v>35303</v>
      </c>
      <c r="G29" s="12" t="b">
        <f t="shared" si="0"/>
        <v>0</v>
      </c>
      <c r="H29" s="12">
        <f t="shared" si="1"/>
        <v>11</v>
      </c>
      <c r="I29" s="18">
        <v>39360</v>
      </c>
      <c r="J29" s="18"/>
      <c r="K29" s="22" t="str">
        <f t="shared" si="2"/>
        <v>11 г. 2 мес. 27 дн.</v>
      </c>
      <c r="L29" s="23" t="s">
        <v>27</v>
      </c>
    </row>
    <row r="30" spans="2:12" s="16" customFormat="1" x14ac:dyDescent="0.25">
      <c r="B30" s="24">
        <v>14</v>
      </c>
      <c r="C30" s="56" t="s">
        <v>50</v>
      </c>
      <c r="D30" s="19"/>
      <c r="E30" s="19"/>
      <c r="F30" s="18">
        <v>28822</v>
      </c>
      <c r="G30" s="12" t="b">
        <f t="shared" si="0"/>
        <v>0</v>
      </c>
      <c r="H30" s="12">
        <f t="shared" si="1"/>
        <v>24</v>
      </c>
      <c r="I30" s="18">
        <v>37609</v>
      </c>
      <c r="J30" s="18">
        <v>40664</v>
      </c>
      <c r="K30" s="22" t="str">
        <f t="shared" si="2"/>
        <v>8 г. 4 мес. 12 дн.</v>
      </c>
      <c r="L30" s="23" t="s">
        <v>25</v>
      </c>
    </row>
    <row r="31" spans="2:12" s="16" customFormat="1" x14ac:dyDescent="0.25">
      <c r="B31" s="24">
        <v>15</v>
      </c>
      <c r="C31" s="56" t="s">
        <v>51</v>
      </c>
      <c r="D31" s="19"/>
      <c r="E31" s="17"/>
      <c r="F31" s="18">
        <v>27062</v>
      </c>
      <c r="G31" s="12" t="b">
        <f t="shared" si="0"/>
        <v>0</v>
      </c>
      <c r="H31" s="12">
        <f t="shared" si="1"/>
        <v>26</v>
      </c>
      <c r="I31" s="18">
        <v>36699</v>
      </c>
      <c r="J31" s="18">
        <v>40058</v>
      </c>
      <c r="K31" s="22" t="str">
        <f t="shared" si="2"/>
        <v>9 г. 2 мес. 11 дн.</v>
      </c>
      <c r="L31" s="23" t="s">
        <v>26</v>
      </c>
    </row>
    <row r="32" spans="2:12" s="16" customFormat="1" x14ac:dyDescent="0.25">
      <c r="B32" s="24">
        <v>16</v>
      </c>
      <c r="C32" s="56" t="s">
        <v>52</v>
      </c>
      <c r="D32" s="17"/>
      <c r="E32" s="17"/>
      <c r="F32" s="18">
        <v>35548</v>
      </c>
      <c r="G32" s="12" t="b">
        <f t="shared" si="0"/>
        <v>0</v>
      </c>
      <c r="H32" s="12">
        <f t="shared" si="1"/>
        <v>6</v>
      </c>
      <c r="I32" s="18">
        <v>37938</v>
      </c>
      <c r="J32" s="18"/>
      <c r="K32" s="22" t="str">
        <f t="shared" si="2"/>
        <v>15 г. 1 мес. 19 дн.</v>
      </c>
      <c r="L32" s="23" t="s">
        <v>27</v>
      </c>
    </row>
    <row r="33" spans="2:12" s="16" customFormat="1" x14ac:dyDescent="0.25">
      <c r="B33" s="24">
        <v>17</v>
      </c>
      <c r="C33" s="56" t="s">
        <v>53</v>
      </c>
      <c r="D33" s="19"/>
      <c r="E33" s="17"/>
      <c r="F33" s="18">
        <v>35087</v>
      </c>
      <c r="G33" s="12" t="b">
        <f t="shared" si="0"/>
        <v>0</v>
      </c>
      <c r="H33" s="12">
        <f t="shared" si="1"/>
        <v>11</v>
      </c>
      <c r="I33" s="18">
        <v>39374</v>
      </c>
      <c r="J33" s="18">
        <v>40879</v>
      </c>
      <c r="K33" s="22" t="str">
        <f t="shared" si="2"/>
        <v>4 г. 1 мес. 13 дн.</v>
      </c>
      <c r="L33" s="23" t="s">
        <v>25</v>
      </c>
    </row>
    <row r="34" spans="2:12" s="16" customFormat="1" x14ac:dyDescent="0.25">
      <c r="B34" s="24">
        <v>18</v>
      </c>
      <c r="C34" s="56" t="s">
        <v>54</v>
      </c>
      <c r="D34" s="17"/>
      <c r="E34" s="17"/>
      <c r="F34" s="18">
        <v>35696</v>
      </c>
      <c r="G34" s="12" t="b">
        <f t="shared" si="0"/>
        <v>0</v>
      </c>
      <c r="H34" s="12">
        <f t="shared" si="1"/>
        <v>10</v>
      </c>
      <c r="I34" s="18">
        <v>39475</v>
      </c>
      <c r="J34" s="18">
        <v>41609</v>
      </c>
      <c r="K34" s="22" t="str">
        <f t="shared" si="2"/>
        <v>5 г. 10 мес. 3 дн.</v>
      </c>
      <c r="L34" s="23" t="s">
        <v>19</v>
      </c>
    </row>
    <row r="35" spans="2:12" s="16" customFormat="1" x14ac:dyDescent="0.25">
      <c r="B35" s="24">
        <v>19</v>
      </c>
      <c r="C35" s="56" t="s">
        <v>55</v>
      </c>
      <c r="D35" s="17"/>
      <c r="E35" s="17"/>
      <c r="F35" s="18">
        <v>32715</v>
      </c>
      <c r="G35" s="12" t="b">
        <f t="shared" si="0"/>
        <v>0</v>
      </c>
      <c r="H35" s="12">
        <f t="shared" si="1"/>
        <v>17</v>
      </c>
      <c r="I35" s="18">
        <v>39026</v>
      </c>
      <c r="J35" s="18">
        <v>42302</v>
      </c>
      <c r="K35" s="22" t="str">
        <f t="shared" si="2"/>
        <v>8 г. 11 мес. 20 дн.</v>
      </c>
      <c r="L35" s="23" t="s">
        <v>16</v>
      </c>
    </row>
    <row r="36" spans="2:12" s="16" customFormat="1" x14ac:dyDescent="0.25">
      <c r="B36" s="24">
        <v>20</v>
      </c>
      <c r="C36" s="56" t="s">
        <v>56</v>
      </c>
      <c r="D36" s="17"/>
      <c r="E36" s="17"/>
      <c r="F36" s="18">
        <v>29636</v>
      </c>
      <c r="G36" s="12" t="b">
        <f t="shared" si="0"/>
        <v>0</v>
      </c>
      <c r="H36" s="12">
        <f t="shared" si="1"/>
        <v>19</v>
      </c>
      <c r="I36" s="18">
        <v>36603</v>
      </c>
      <c r="J36" s="18"/>
      <c r="K36" s="22" t="str">
        <f t="shared" si="2"/>
        <v>18 г. 9 мес. 14 дн.</v>
      </c>
      <c r="L36" s="23" t="s">
        <v>27</v>
      </c>
    </row>
    <row r="37" spans="2:12" s="16" customFormat="1" x14ac:dyDescent="0.25">
      <c r="B37" s="24">
        <v>21</v>
      </c>
      <c r="C37" s="56" t="s">
        <v>57</v>
      </c>
      <c r="D37" s="17"/>
      <c r="E37" s="19"/>
      <c r="F37" s="18">
        <v>32283</v>
      </c>
      <c r="G37" s="12" t="b">
        <f t="shared" si="0"/>
        <v>0</v>
      </c>
      <c r="H37" s="12">
        <f t="shared" si="1"/>
        <v>13</v>
      </c>
      <c r="I37" s="18">
        <v>37319</v>
      </c>
      <c r="J37" s="18">
        <v>39373</v>
      </c>
      <c r="K37" s="22" t="str">
        <f t="shared" si="2"/>
        <v>5 г. 7 мес. 14 дн.</v>
      </c>
      <c r="L37" s="23" t="s">
        <v>17</v>
      </c>
    </row>
    <row r="38" spans="2:12" s="16" customFormat="1" x14ac:dyDescent="0.25">
      <c r="B38" s="24">
        <v>22</v>
      </c>
      <c r="C38" s="56" t="s">
        <v>58</v>
      </c>
      <c r="D38" s="17"/>
      <c r="E38" s="17"/>
      <c r="F38" s="18">
        <v>27748</v>
      </c>
      <c r="G38" s="12" t="b">
        <f t="shared" si="0"/>
        <v>0</v>
      </c>
      <c r="H38" s="12">
        <f t="shared" si="1"/>
        <v>29</v>
      </c>
      <c r="I38" s="18">
        <v>38394</v>
      </c>
      <c r="J38" s="18">
        <v>41743</v>
      </c>
      <c r="K38" s="22" t="str">
        <f t="shared" si="2"/>
        <v>9 г. 2 мес. 3 дн.</v>
      </c>
      <c r="L38" s="23" t="s">
        <v>16</v>
      </c>
    </row>
    <row r="39" spans="2:12" s="16" customFormat="1" x14ac:dyDescent="0.25">
      <c r="B39" s="24">
        <v>23</v>
      </c>
      <c r="C39" s="56" t="s">
        <v>59</v>
      </c>
      <c r="D39" s="17"/>
      <c r="E39" s="19"/>
      <c r="F39" s="18">
        <v>32693</v>
      </c>
      <c r="G39" s="12" t="b">
        <f t="shared" si="0"/>
        <v>0</v>
      </c>
      <c r="H39" s="12">
        <f t="shared" si="1"/>
        <v>11</v>
      </c>
      <c r="I39" s="18">
        <v>36922</v>
      </c>
      <c r="J39" s="18">
        <v>39894</v>
      </c>
      <c r="K39" s="22" t="str">
        <f t="shared" si="2"/>
        <v>8 г. 1 мес. 19 дн.</v>
      </c>
      <c r="L39" s="23" t="s">
        <v>26</v>
      </c>
    </row>
    <row r="40" spans="2:12" s="16" customFormat="1" x14ac:dyDescent="0.25">
      <c r="B40" s="24">
        <v>24</v>
      </c>
      <c r="C40" s="56" t="s">
        <v>60</v>
      </c>
      <c r="D40" s="19"/>
      <c r="E40" s="19"/>
      <c r="F40" s="18">
        <v>31162</v>
      </c>
      <c r="G40" s="12" t="b">
        <f t="shared" si="0"/>
        <v>0</v>
      </c>
      <c r="H40" s="12">
        <f t="shared" si="1"/>
        <v>17</v>
      </c>
      <c r="I40" s="18">
        <v>37556</v>
      </c>
      <c r="J40" s="18">
        <v>41031</v>
      </c>
      <c r="K40" s="22" t="str">
        <f t="shared" si="2"/>
        <v>9 г. 6 мес. 5 дн.</v>
      </c>
      <c r="L40" s="23" t="s">
        <v>17</v>
      </c>
    </row>
    <row r="41" spans="2:12" s="16" customFormat="1" x14ac:dyDescent="0.25">
      <c r="B41" s="24">
        <v>25</v>
      </c>
      <c r="C41" s="56" t="s">
        <v>61</v>
      </c>
      <c r="D41" s="19"/>
      <c r="E41" s="19"/>
      <c r="F41" s="18">
        <v>34027</v>
      </c>
      <c r="G41" s="12" t="b">
        <f t="shared" si="0"/>
        <v>0</v>
      </c>
      <c r="H41" s="12">
        <f t="shared" si="1"/>
        <v>7</v>
      </c>
      <c r="I41" s="18">
        <v>36670</v>
      </c>
      <c r="J41" s="18"/>
      <c r="K41" s="22" t="str">
        <f t="shared" si="2"/>
        <v>18 г. 7 мес. 8 дн.</v>
      </c>
      <c r="L41" s="23" t="s">
        <v>27</v>
      </c>
    </row>
    <row r="42" spans="2:12" s="16" customFormat="1" x14ac:dyDescent="0.25">
      <c r="B42" s="24">
        <v>26</v>
      </c>
      <c r="C42" s="56" t="s">
        <v>62</v>
      </c>
      <c r="D42" s="17"/>
      <c r="E42" s="19"/>
      <c r="F42" s="18">
        <v>27781</v>
      </c>
      <c r="G42" s="12" t="b">
        <f t="shared" si="0"/>
        <v>0</v>
      </c>
      <c r="H42" s="12">
        <f t="shared" si="1"/>
        <v>30</v>
      </c>
      <c r="I42" s="18">
        <v>38760</v>
      </c>
      <c r="J42" s="18">
        <v>40138</v>
      </c>
      <c r="K42" s="22" t="str">
        <f t="shared" si="2"/>
        <v>3 г. 9 мес. 9 дн.</v>
      </c>
      <c r="L42" s="23" t="s">
        <v>25</v>
      </c>
    </row>
    <row r="43" spans="2:12" s="16" customFormat="1" x14ac:dyDescent="0.25">
      <c r="B43" s="24">
        <v>27</v>
      </c>
      <c r="C43" s="56" t="s">
        <v>63</v>
      </c>
      <c r="D43" s="19"/>
      <c r="E43" s="17"/>
      <c r="F43" s="18">
        <v>35305</v>
      </c>
      <c r="G43" s="12" t="b">
        <f t="shared" si="0"/>
        <v>0</v>
      </c>
      <c r="H43" s="12">
        <f t="shared" si="1"/>
        <v>7</v>
      </c>
      <c r="I43" s="18">
        <v>38114</v>
      </c>
      <c r="J43" s="18">
        <v>37370</v>
      </c>
      <c r="K43" s="22" t="e">
        <f t="shared" si="2"/>
        <v>#NUM!</v>
      </c>
      <c r="L43" s="23" t="s">
        <v>17</v>
      </c>
    </row>
    <row r="44" spans="2:12" s="16" customFormat="1" x14ac:dyDescent="0.25">
      <c r="B44" s="24">
        <v>28</v>
      </c>
      <c r="C44" s="56" t="s">
        <v>64</v>
      </c>
      <c r="D44" s="19"/>
      <c r="E44" s="19"/>
      <c r="F44" s="18">
        <v>34578</v>
      </c>
      <c r="G44" s="12" t="b">
        <f t="shared" si="0"/>
        <v>0</v>
      </c>
      <c r="H44" s="12">
        <f t="shared" si="1"/>
        <v>7</v>
      </c>
      <c r="I44" s="18">
        <v>37153</v>
      </c>
      <c r="J44" s="18"/>
      <c r="K44" s="22" t="str">
        <f t="shared" si="2"/>
        <v>17 г. 3 мес. 13 дн.</v>
      </c>
      <c r="L44" s="23" t="s">
        <v>27</v>
      </c>
    </row>
    <row r="45" spans="2:12" s="16" customFormat="1" x14ac:dyDescent="0.25">
      <c r="B45" s="24">
        <v>29</v>
      </c>
      <c r="C45" s="56" t="s">
        <v>65</v>
      </c>
      <c r="D45" s="19"/>
      <c r="E45" s="17"/>
      <c r="F45" s="18">
        <v>35314</v>
      </c>
      <c r="G45" s="12" t="b">
        <f t="shared" si="0"/>
        <v>0</v>
      </c>
      <c r="H45" s="12">
        <f t="shared" si="1"/>
        <v>7</v>
      </c>
      <c r="I45" s="18">
        <v>37995</v>
      </c>
      <c r="J45" s="18">
        <v>37718</v>
      </c>
      <c r="K45" s="22" t="e">
        <f t="shared" si="2"/>
        <v>#NUM!</v>
      </c>
      <c r="L45" s="23" t="s">
        <v>25</v>
      </c>
    </row>
    <row r="46" spans="2:12" s="16" customFormat="1" x14ac:dyDescent="0.25">
      <c r="B46" s="24">
        <v>30</v>
      </c>
      <c r="C46" s="56" t="s">
        <v>66</v>
      </c>
      <c r="D46" s="17"/>
      <c r="E46" s="19"/>
      <c r="F46" s="18">
        <v>27400</v>
      </c>
      <c r="G46" s="12" t="b">
        <f t="shared" si="0"/>
        <v>0</v>
      </c>
      <c r="H46" s="12">
        <f t="shared" si="1"/>
        <v>32</v>
      </c>
      <c r="I46" s="18">
        <v>39099</v>
      </c>
      <c r="J46" s="18"/>
      <c r="K46" s="22" t="str">
        <f t="shared" si="2"/>
        <v>11 г. 11 мес. 15 дн.</v>
      </c>
      <c r="L46" s="23" t="s">
        <v>27</v>
      </c>
    </row>
    <row r="47" spans="2:12" s="16" customFormat="1" x14ac:dyDescent="0.25">
      <c r="B47" s="24">
        <v>31</v>
      </c>
      <c r="C47" s="56" t="s">
        <v>67</v>
      </c>
      <c r="D47" s="17"/>
      <c r="E47" s="19"/>
      <c r="F47" s="18">
        <v>27802</v>
      </c>
      <c r="G47" s="12" t="b">
        <f t="shared" si="0"/>
        <v>0</v>
      </c>
      <c r="H47" s="12">
        <f t="shared" si="1"/>
        <v>24</v>
      </c>
      <c r="I47" s="18">
        <v>36923</v>
      </c>
      <c r="J47" s="18">
        <v>42078</v>
      </c>
      <c r="K47" s="22" t="str">
        <f t="shared" si="2"/>
        <v>14 г. 1 мес. 14 дн.</v>
      </c>
      <c r="L47" s="23" t="s">
        <v>26</v>
      </c>
    </row>
    <row r="48" spans="2:12" s="16" customFormat="1" x14ac:dyDescent="0.25">
      <c r="B48" s="24">
        <v>32</v>
      </c>
      <c r="C48" s="56" t="s">
        <v>68</v>
      </c>
      <c r="D48" s="19"/>
      <c r="E48" s="19"/>
      <c r="F48" s="18">
        <v>29811</v>
      </c>
      <c r="G48" s="12" t="b">
        <f t="shared" si="0"/>
        <v>0</v>
      </c>
      <c r="H48" s="12">
        <f t="shared" si="1"/>
        <v>22</v>
      </c>
      <c r="I48" s="18">
        <v>38119</v>
      </c>
      <c r="J48" s="18"/>
      <c r="K48" s="22" t="str">
        <f t="shared" si="2"/>
        <v>14 г. 7 мес. 20 дн.</v>
      </c>
      <c r="L48" s="23" t="s">
        <v>27</v>
      </c>
    </row>
    <row r="49" spans="2:12" s="16" customFormat="1" x14ac:dyDescent="0.25">
      <c r="B49" s="24">
        <v>33</v>
      </c>
      <c r="C49" s="56" t="s">
        <v>69</v>
      </c>
      <c r="D49" s="19"/>
      <c r="E49" s="19"/>
      <c r="F49" s="18">
        <v>31511</v>
      </c>
      <c r="G49" s="12" t="b">
        <f t="shared" si="0"/>
        <v>0</v>
      </c>
      <c r="H49" s="12">
        <f t="shared" si="1"/>
        <v>17</v>
      </c>
      <c r="I49" s="18">
        <v>37779</v>
      </c>
      <c r="J49" s="18">
        <v>40022</v>
      </c>
      <c r="K49" s="22" t="str">
        <f t="shared" si="2"/>
        <v>6 г. 1 мес. 21 дн.</v>
      </c>
      <c r="L49" s="23" t="s">
        <v>16</v>
      </c>
    </row>
    <row r="50" spans="2:12" s="16" customFormat="1" x14ac:dyDescent="0.25">
      <c r="B50" s="24">
        <v>34</v>
      </c>
      <c r="C50" s="56" t="s">
        <v>70</v>
      </c>
      <c r="D50" s="17"/>
      <c r="E50" s="17"/>
      <c r="F50" s="18">
        <v>31509</v>
      </c>
      <c r="G50" s="12" t="b">
        <f t="shared" si="0"/>
        <v>0</v>
      </c>
      <c r="H50" s="12">
        <f t="shared" si="1"/>
        <v>13</v>
      </c>
      <c r="I50" s="18">
        <v>36584</v>
      </c>
      <c r="J50" s="18">
        <v>41384</v>
      </c>
      <c r="K50" s="22" t="str">
        <f t="shared" si="2"/>
        <v>13 г. 1 мес. 23 дн.</v>
      </c>
      <c r="L50" s="23" t="s">
        <v>25</v>
      </c>
    </row>
    <row r="51" spans="2:12" s="16" customFormat="1" x14ac:dyDescent="0.25">
      <c r="B51" s="24">
        <v>35</v>
      </c>
      <c r="C51" s="56" t="s">
        <v>71</v>
      </c>
      <c r="D51" s="17"/>
      <c r="E51" s="17"/>
      <c r="F51" s="18">
        <v>31929</v>
      </c>
      <c r="G51" s="12" t="b">
        <f t="shared" si="0"/>
        <v>0</v>
      </c>
      <c r="H51" s="12">
        <f t="shared" si="1"/>
        <v>13</v>
      </c>
      <c r="I51" s="18">
        <v>36723</v>
      </c>
      <c r="J51" s="18">
        <v>41181</v>
      </c>
      <c r="K51" s="22" t="str">
        <f t="shared" si="2"/>
        <v>12 г. 2 мес. 13 дн.</v>
      </c>
      <c r="L51" s="23" t="s">
        <v>25</v>
      </c>
    </row>
    <row r="52" spans="2:12" s="16" customFormat="1" x14ac:dyDescent="0.25">
      <c r="B52" s="24">
        <v>36</v>
      </c>
      <c r="C52" s="56" t="s">
        <v>72</v>
      </c>
      <c r="D52" s="17"/>
      <c r="E52" s="17"/>
      <c r="F52" s="18">
        <v>28056</v>
      </c>
      <c r="G52" s="12" t="b">
        <f t="shared" si="0"/>
        <v>0</v>
      </c>
      <c r="H52" s="12">
        <f t="shared" si="1"/>
        <v>28</v>
      </c>
      <c r="I52" s="18">
        <v>38396</v>
      </c>
      <c r="J52" s="18">
        <v>41699</v>
      </c>
      <c r="K52" s="22" t="str">
        <f t="shared" si="2"/>
        <v>9 г. 0 мес. 16 дн.</v>
      </c>
      <c r="L52" s="23" t="s">
        <v>18</v>
      </c>
    </row>
    <row r="53" spans="2:12" s="16" customFormat="1" x14ac:dyDescent="0.25">
      <c r="B53" s="24">
        <v>37</v>
      </c>
      <c r="C53" s="56" t="s">
        <v>73</v>
      </c>
      <c r="D53" s="17"/>
      <c r="E53" s="17"/>
      <c r="F53" s="18">
        <v>27015</v>
      </c>
      <c r="G53" s="12" t="b">
        <f t="shared" si="0"/>
        <v>0</v>
      </c>
      <c r="H53" s="12">
        <f t="shared" si="1"/>
        <v>27</v>
      </c>
      <c r="I53" s="18">
        <v>36999</v>
      </c>
      <c r="J53" s="18">
        <v>38159</v>
      </c>
      <c r="K53" s="22" t="str">
        <f t="shared" si="2"/>
        <v>3 г. 2 мес. 3 дн.</v>
      </c>
      <c r="L53" s="23" t="s">
        <v>16</v>
      </c>
    </row>
    <row r="54" spans="2:12" s="16" customFormat="1" x14ac:dyDescent="0.25">
      <c r="B54" s="24">
        <v>38</v>
      </c>
      <c r="C54" s="56" t="s">
        <v>74</v>
      </c>
      <c r="D54" s="17"/>
      <c r="E54" s="19"/>
      <c r="F54" s="18">
        <v>31946</v>
      </c>
      <c r="G54" s="12" t="b">
        <f t="shared" si="0"/>
        <v>0</v>
      </c>
      <c r="H54" s="12">
        <f t="shared" si="1"/>
        <v>19</v>
      </c>
      <c r="I54" s="18">
        <v>38965</v>
      </c>
      <c r="J54" s="18"/>
      <c r="K54" s="22" t="str">
        <f t="shared" si="2"/>
        <v>12 г. 3 мес. 27 дн.</v>
      </c>
      <c r="L54" s="23" t="s">
        <v>27</v>
      </c>
    </row>
    <row r="55" spans="2:12" s="16" customFormat="1" x14ac:dyDescent="0.25">
      <c r="B55" s="24">
        <v>39</v>
      </c>
      <c r="C55" s="56" t="s">
        <v>75</v>
      </c>
      <c r="D55" s="17"/>
      <c r="E55" s="17"/>
      <c r="F55" s="18">
        <v>31574</v>
      </c>
      <c r="G55" s="12" t="b">
        <f t="shared" si="0"/>
        <v>0</v>
      </c>
      <c r="H55" s="12">
        <f t="shared" si="1"/>
        <v>17</v>
      </c>
      <c r="I55" s="18">
        <v>37805</v>
      </c>
      <c r="J55" s="18">
        <v>37143</v>
      </c>
      <c r="K55" s="22" t="e">
        <f t="shared" si="2"/>
        <v>#NUM!</v>
      </c>
      <c r="L55" s="23" t="s">
        <v>16</v>
      </c>
    </row>
    <row r="56" spans="2:12" s="16" customFormat="1" x14ac:dyDescent="0.25">
      <c r="B56" s="24">
        <v>40</v>
      </c>
      <c r="C56" s="56" t="s">
        <v>76</v>
      </c>
      <c r="D56" s="17"/>
      <c r="E56" s="17"/>
      <c r="F56" s="18">
        <v>28316</v>
      </c>
      <c r="G56" s="12" t="b">
        <f t="shared" si="0"/>
        <v>0</v>
      </c>
      <c r="H56" s="12">
        <f t="shared" si="1"/>
        <v>32</v>
      </c>
      <c r="I56" s="18">
        <v>40341</v>
      </c>
      <c r="J56" s="18">
        <v>41920</v>
      </c>
      <c r="K56" s="22" t="str">
        <f t="shared" si="2"/>
        <v>4 г. 3 мес. 26 дн.</v>
      </c>
      <c r="L56" s="23" t="s">
        <v>19</v>
      </c>
    </row>
    <row r="57" spans="2:12" s="16" customFormat="1" x14ac:dyDescent="0.25">
      <c r="B57" s="24">
        <v>41</v>
      </c>
      <c r="C57" s="56" t="s">
        <v>77</v>
      </c>
      <c r="D57" s="17"/>
      <c r="E57" s="17"/>
      <c r="F57" s="18">
        <v>26236</v>
      </c>
      <c r="G57" s="12" t="b">
        <f t="shared" si="0"/>
        <v>0</v>
      </c>
      <c r="H57" s="12">
        <f t="shared" si="1"/>
        <v>39</v>
      </c>
      <c r="I57" s="18">
        <v>40506</v>
      </c>
      <c r="J57" s="18">
        <v>37507</v>
      </c>
      <c r="K57" s="22" t="e">
        <f t="shared" si="2"/>
        <v>#NUM!</v>
      </c>
      <c r="L57" s="23" t="s">
        <v>26</v>
      </c>
    </row>
    <row r="58" spans="2:12" s="16" customFormat="1" x14ac:dyDescent="0.25">
      <c r="B58" s="24">
        <v>42</v>
      </c>
      <c r="C58" s="56" t="s">
        <v>78</v>
      </c>
      <c r="D58" s="19"/>
      <c r="E58" s="17"/>
      <c r="F58" s="18">
        <v>34135</v>
      </c>
      <c r="G58" s="12" t="b">
        <f t="shared" si="0"/>
        <v>0</v>
      </c>
      <c r="H58" s="12">
        <f t="shared" si="1"/>
        <v>15</v>
      </c>
      <c r="I58" s="18">
        <v>39855</v>
      </c>
      <c r="J58" s="18">
        <v>40458</v>
      </c>
      <c r="K58" s="22" t="str">
        <f t="shared" si="2"/>
        <v>1 г. 7 мес. 26 дн.</v>
      </c>
      <c r="L58" s="23" t="s">
        <v>16</v>
      </c>
    </row>
    <row r="59" spans="2:12" s="16" customFormat="1" x14ac:dyDescent="0.25">
      <c r="B59" s="24">
        <v>43</v>
      </c>
      <c r="C59" s="56" t="s">
        <v>79</v>
      </c>
      <c r="D59" s="17"/>
      <c r="E59" s="17"/>
      <c r="F59" s="18">
        <v>29575</v>
      </c>
      <c r="G59" s="12" t="b">
        <f t="shared" si="0"/>
        <v>0</v>
      </c>
      <c r="H59" s="12">
        <f t="shared" si="1"/>
        <v>21</v>
      </c>
      <c r="I59" s="18">
        <v>37323</v>
      </c>
      <c r="J59" s="18">
        <v>39958</v>
      </c>
      <c r="K59" s="22" t="str">
        <f t="shared" si="2"/>
        <v>7 г. 2 мес. 17 дн.</v>
      </c>
      <c r="L59" s="23" t="s">
        <v>18</v>
      </c>
    </row>
    <row r="60" spans="2:12" s="16" customFormat="1" x14ac:dyDescent="0.25">
      <c r="B60" s="24">
        <v>44</v>
      </c>
      <c r="C60" s="56" t="s">
        <v>80</v>
      </c>
      <c r="D60" s="17"/>
      <c r="E60" s="19"/>
      <c r="F60" s="18">
        <v>34996</v>
      </c>
      <c r="G60" s="12" t="b">
        <f t="shared" si="0"/>
        <v>0</v>
      </c>
      <c r="H60" s="12">
        <f t="shared" si="1"/>
        <v>12</v>
      </c>
      <c r="I60" s="18">
        <v>39394</v>
      </c>
      <c r="J60" s="18"/>
      <c r="K60" s="22" t="str">
        <f t="shared" si="2"/>
        <v>11 г. 1 мес. 24 дн.</v>
      </c>
      <c r="L60" s="23" t="s">
        <v>27</v>
      </c>
    </row>
    <row r="61" spans="2:12" s="16" customFormat="1" x14ac:dyDescent="0.25">
      <c r="B61" s="24">
        <v>45</v>
      </c>
      <c r="C61" s="56" t="s">
        <v>81</v>
      </c>
      <c r="D61" s="19"/>
      <c r="E61" s="17"/>
      <c r="F61" s="18">
        <v>26557</v>
      </c>
      <c r="G61" s="12" t="b">
        <f t="shared" si="0"/>
        <v>0</v>
      </c>
      <c r="H61" s="12">
        <f t="shared" si="1"/>
        <v>30</v>
      </c>
      <c r="I61" s="18">
        <v>37581</v>
      </c>
      <c r="J61" s="18"/>
      <c r="K61" s="22" t="str">
        <f t="shared" si="2"/>
        <v>16 г. 1 мес. 11 дн.</v>
      </c>
      <c r="L61" s="23" t="s">
        <v>27</v>
      </c>
    </row>
    <row r="62" spans="2:12" s="16" customFormat="1" x14ac:dyDescent="0.25">
      <c r="B62" s="24">
        <v>46</v>
      </c>
      <c r="C62" s="56" t="s">
        <v>82</v>
      </c>
      <c r="D62" s="19"/>
      <c r="E62" s="19"/>
      <c r="F62" s="18">
        <v>30104</v>
      </c>
      <c r="G62" s="12" t="b">
        <f t="shared" si="0"/>
        <v>0</v>
      </c>
      <c r="H62" s="12">
        <f t="shared" si="1"/>
        <v>20</v>
      </c>
      <c r="I62" s="18">
        <v>37697</v>
      </c>
      <c r="J62" s="18"/>
      <c r="K62" s="22" t="str">
        <f t="shared" si="2"/>
        <v>15 г. 9 мес. 15 дн.</v>
      </c>
      <c r="L62" s="23" t="s">
        <v>27</v>
      </c>
    </row>
    <row r="63" spans="2:12" s="16" customFormat="1" x14ac:dyDescent="0.25">
      <c r="B63" s="24">
        <v>47</v>
      </c>
      <c r="C63" s="56" t="s">
        <v>83</v>
      </c>
      <c r="D63" s="17"/>
      <c r="E63" s="19"/>
      <c r="F63" s="18">
        <v>32337</v>
      </c>
      <c r="G63" s="12" t="b">
        <f t="shared" si="0"/>
        <v>0</v>
      </c>
      <c r="H63" s="12">
        <f t="shared" si="1"/>
        <v>14</v>
      </c>
      <c r="I63" s="18">
        <v>37811</v>
      </c>
      <c r="J63" s="18"/>
      <c r="K63" s="22" t="str">
        <f t="shared" si="2"/>
        <v>15 г. 5 мес. 23 дн.</v>
      </c>
      <c r="L63" s="23" t="s">
        <v>27</v>
      </c>
    </row>
    <row r="64" spans="2:12" s="16" customFormat="1" x14ac:dyDescent="0.25">
      <c r="B64" s="24">
        <v>48</v>
      </c>
      <c r="C64" s="56" t="s">
        <v>84</v>
      </c>
      <c r="D64" s="17"/>
      <c r="E64" s="19"/>
      <c r="F64" s="18">
        <v>31397</v>
      </c>
      <c r="G64" s="12" t="b">
        <f t="shared" si="0"/>
        <v>0</v>
      </c>
      <c r="H64" s="12">
        <f t="shared" si="1"/>
        <v>20</v>
      </c>
      <c r="I64" s="18">
        <v>39035</v>
      </c>
      <c r="J64" s="18"/>
      <c r="K64" s="22" t="str">
        <f t="shared" si="2"/>
        <v>12 г. 1 мес. 18 дн.</v>
      </c>
      <c r="L64" s="23" t="s">
        <v>27</v>
      </c>
    </row>
    <row r="65" spans="2:15" s="16" customFormat="1" x14ac:dyDescent="0.25">
      <c r="B65" s="24">
        <v>49</v>
      </c>
      <c r="C65" s="56" t="s">
        <v>85</v>
      </c>
      <c r="D65" s="17"/>
      <c r="E65" s="17"/>
      <c r="F65" s="18">
        <v>35727</v>
      </c>
      <c r="G65" s="12" t="b">
        <f t="shared" si="0"/>
        <v>0</v>
      </c>
      <c r="H65" s="12">
        <f t="shared" si="1"/>
        <v>8</v>
      </c>
      <c r="I65" s="18">
        <v>38983</v>
      </c>
      <c r="J65" s="18">
        <v>39490</v>
      </c>
      <c r="K65" s="22" t="str">
        <f t="shared" si="2"/>
        <v>1 г. 4 мес. 20 дн.</v>
      </c>
      <c r="L65" s="23" t="s">
        <v>25</v>
      </c>
    </row>
    <row r="66" spans="2:15" s="20" customFormat="1" x14ac:dyDescent="0.25">
      <c r="B66" s="25">
        <v>50</v>
      </c>
      <c r="C66" s="56" t="s">
        <v>86</v>
      </c>
      <c r="D66" s="13"/>
      <c r="E66" s="13"/>
      <c r="F66" s="15">
        <v>36007</v>
      </c>
      <c r="G66" s="12" t="b">
        <f t="shared" si="0"/>
        <v>0</v>
      </c>
      <c r="H66" s="12">
        <f t="shared" si="1"/>
        <v>2</v>
      </c>
      <c r="I66" s="18">
        <v>36908</v>
      </c>
      <c r="J66" s="18">
        <v>38402</v>
      </c>
      <c r="K66" s="22" t="str">
        <f t="shared" si="2"/>
        <v>4 г. 1 мес. 2 дн.</v>
      </c>
      <c r="L66" s="23" t="s">
        <v>19</v>
      </c>
      <c r="M66" s="16"/>
      <c r="O66" s="16"/>
    </row>
    <row r="67" spans="2:15" s="16" customFormat="1" x14ac:dyDescent="0.25">
      <c r="B67" s="24">
        <v>51</v>
      </c>
      <c r="C67" s="56" t="s">
        <v>87</v>
      </c>
      <c r="D67" s="17"/>
      <c r="E67" s="17"/>
      <c r="F67" s="18">
        <v>33697</v>
      </c>
      <c r="G67" s="12" t="b">
        <f t="shared" si="0"/>
        <v>0</v>
      </c>
      <c r="H67" s="12">
        <f t="shared" si="1"/>
        <v>10</v>
      </c>
      <c r="I67" s="18">
        <v>37573</v>
      </c>
      <c r="J67" s="18">
        <v>41754</v>
      </c>
      <c r="K67" s="22" t="str">
        <f t="shared" si="2"/>
        <v>11 г. 5 мес. 12 дн.</v>
      </c>
      <c r="L67" s="23" t="s">
        <v>17</v>
      </c>
    </row>
    <row r="68" spans="2:15" s="16" customFormat="1" x14ac:dyDescent="0.25">
      <c r="B68" s="24">
        <v>52</v>
      </c>
      <c r="C68" s="56" t="s">
        <v>88</v>
      </c>
      <c r="D68" s="17"/>
      <c r="E68" s="17"/>
      <c r="F68" s="18">
        <v>28108</v>
      </c>
      <c r="G68" s="12" t="b">
        <f t="shared" si="0"/>
        <v>0</v>
      </c>
      <c r="H68" s="12">
        <f t="shared" si="1"/>
        <v>25</v>
      </c>
      <c r="I68" s="18">
        <v>37376</v>
      </c>
      <c r="J68" s="18"/>
      <c r="K68" s="22" t="str">
        <f t="shared" si="2"/>
        <v>16 г. 8 мес. 2 дн.</v>
      </c>
      <c r="L68" s="23" t="s">
        <v>27</v>
      </c>
    </row>
    <row r="69" spans="2:15" s="16" customFormat="1" x14ac:dyDescent="0.25">
      <c r="B69" s="24">
        <v>53</v>
      </c>
      <c r="C69" s="56" t="s">
        <v>89</v>
      </c>
      <c r="D69" s="17"/>
      <c r="E69" s="17"/>
      <c r="F69" s="18">
        <v>33655</v>
      </c>
      <c r="G69" s="12" t="b">
        <f t="shared" si="0"/>
        <v>0</v>
      </c>
      <c r="H69" s="12">
        <f t="shared" si="1"/>
        <v>13</v>
      </c>
      <c r="I69" s="18">
        <v>38459</v>
      </c>
      <c r="J69" s="18">
        <v>41692</v>
      </c>
      <c r="K69" s="22" t="str">
        <f t="shared" si="2"/>
        <v>8 г. 10 мес. 5 дн.</v>
      </c>
      <c r="L69" s="23" t="s">
        <v>25</v>
      </c>
    </row>
    <row r="70" spans="2:15" s="16" customFormat="1" x14ac:dyDescent="0.25">
      <c r="B70" s="24">
        <v>54</v>
      </c>
      <c r="C70" s="56" t="s">
        <v>90</v>
      </c>
      <c r="D70" s="17"/>
      <c r="E70" s="17"/>
      <c r="F70" s="18">
        <v>28674</v>
      </c>
      <c r="G70" s="12" t="b">
        <f t="shared" si="0"/>
        <v>0</v>
      </c>
      <c r="H70" s="12">
        <f t="shared" si="1"/>
        <v>32</v>
      </c>
      <c r="I70" s="18">
        <v>40455</v>
      </c>
      <c r="J70" s="18"/>
      <c r="K70" s="22" t="str">
        <f t="shared" si="2"/>
        <v>8 г. 2 мес. 28 дн.</v>
      </c>
      <c r="L70" s="23" t="s">
        <v>27</v>
      </c>
    </row>
    <row r="71" spans="2:15" s="16" customFormat="1" x14ac:dyDescent="0.25">
      <c r="B71" s="24">
        <v>55</v>
      </c>
      <c r="C71" s="56" t="s">
        <v>91</v>
      </c>
      <c r="D71" s="17"/>
      <c r="E71" s="17"/>
      <c r="F71" s="18">
        <v>34029</v>
      </c>
      <c r="G71" s="12" t="b">
        <f t="shared" si="0"/>
        <v>0</v>
      </c>
      <c r="H71" s="12">
        <f t="shared" si="1"/>
        <v>7</v>
      </c>
      <c r="I71" s="18">
        <v>36748</v>
      </c>
      <c r="J71" s="18">
        <v>39453</v>
      </c>
      <c r="K71" s="22" t="str">
        <f t="shared" si="2"/>
        <v>7 г. 4 мес. 27 дн.</v>
      </c>
      <c r="L71" s="23" t="s">
        <v>25</v>
      </c>
    </row>
    <row r="72" spans="2:15" s="16" customFormat="1" x14ac:dyDescent="0.25">
      <c r="B72" s="24">
        <v>56</v>
      </c>
      <c r="C72" s="56" t="s">
        <v>92</v>
      </c>
      <c r="D72" s="17"/>
      <c r="E72" s="17"/>
      <c r="F72" s="18">
        <v>31838</v>
      </c>
      <c r="G72" s="12" t="b">
        <f t="shared" si="0"/>
        <v>0</v>
      </c>
      <c r="H72" s="12">
        <f t="shared" si="1"/>
        <v>19</v>
      </c>
      <c r="I72" s="18">
        <v>38957</v>
      </c>
      <c r="J72" s="18"/>
      <c r="K72" s="22" t="str">
        <f t="shared" si="2"/>
        <v>12 г. 4 мес. 4 дн.</v>
      </c>
      <c r="L72" s="23" t="s">
        <v>27</v>
      </c>
    </row>
    <row r="73" spans="2:15" s="16" customFormat="1" x14ac:dyDescent="0.25">
      <c r="B73" s="24">
        <v>57</v>
      </c>
      <c r="C73" s="56" t="s">
        <v>93</v>
      </c>
      <c r="D73" s="17"/>
      <c r="E73" s="17"/>
      <c r="F73" s="18">
        <v>29850</v>
      </c>
      <c r="G73" s="12" t="b">
        <f t="shared" si="0"/>
        <v>0</v>
      </c>
      <c r="H73" s="12">
        <f t="shared" si="1"/>
        <v>23</v>
      </c>
      <c r="I73" s="18">
        <v>38613</v>
      </c>
      <c r="J73" s="18">
        <v>40320</v>
      </c>
      <c r="K73" s="22" t="str">
        <f t="shared" si="2"/>
        <v>4 г. 8 мес. 4 дн.</v>
      </c>
      <c r="L73" s="23" t="s">
        <v>25</v>
      </c>
    </row>
    <row r="74" spans="2:15" s="16" customFormat="1" x14ac:dyDescent="0.25">
      <c r="B74" s="24">
        <v>58</v>
      </c>
      <c r="C74" s="56" t="s">
        <v>94</v>
      </c>
      <c r="D74" s="17"/>
      <c r="E74" s="17"/>
      <c r="F74" s="18">
        <v>33017</v>
      </c>
      <c r="G74" s="12" t="b">
        <f t="shared" si="0"/>
        <v>0</v>
      </c>
      <c r="H74" s="12">
        <f t="shared" si="1"/>
        <v>16</v>
      </c>
      <c r="I74" s="18">
        <v>39051</v>
      </c>
      <c r="J74" s="18"/>
      <c r="K74" s="22" t="str">
        <f t="shared" si="2"/>
        <v>12 г. 1 мес. 2 дн.</v>
      </c>
      <c r="L74" s="23" t="s">
        <v>27</v>
      </c>
    </row>
    <row r="75" spans="2:15" s="16" customFormat="1" x14ac:dyDescent="0.25">
      <c r="B75" s="24">
        <v>59</v>
      </c>
      <c r="C75" s="56" t="s">
        <v>95</v>
      </c>
      <c r="D75" s="17"/>
      <c r="E75" s="17"/>
      <c r="F75" s="18">
        <v>32223</v>
      </c>
      <c r="G75" s="12" t="b">
        <f t="shared" si="0"/>
        <v>0</v>
      </c>
      <c r="H75" s="12">
        <f t="shared" si="1"/>
        <v>15</v>
      </c>
      <c r="I75" s="18">
        <v>38003</v>
      </c>
      <c r="J75" s="18"/>
      <c r="K75" s="22" t="str">
        <f t="shared" si="2"/>
        <v>14 г. 11 мес. 15 дн.</v>
      </c>
      <c r="L75" s="23" t="s">
        <v>27</v>
      </c>
    </row>
    <row r="76" spans="2:15" s="16" customFormat="1" x14ac:dyDescent="0.25">
      <c r="B76" s="24">
        <v>60</v>
      </c>
      <c r="C76" s="56" t="s">
        <v>96</v>
      </c>
      <c r="D76" s="17"/>
      <c r="E76" s="17"/>
      <c r="F76" s="18">
        <v>30805</v>
      </c>
      <c r="G76" s="12" t="b">
        <f t="shared" si="0"/>
        <v>0</v>
      </c>
      <c r="H76" s="12">
        <f t="shared" si="1"/>
        <v>16</v>
      </c>
      <c r="I76" s="18">
        <v>36665</v>
      </c>
      <c r="J76" s="18"/>
      <c r="K76" s="22" t="str">
        <f t="shared" si="2"/>
        <v>18 г. 7 мес. 13 дн.</v>
      </c>
      <c r="L76" s="23" t="s">
        <v>27</v>
      </c>
    </row>
    <row r="77" spans="2:15" s="16" customFormat="1" x14ac:dyDescent="0.25">
      <c r="B77" s="24">
        <v>61</v>
      </c>
      <c r="C77" s="56" t="s">
        <v>97</v>
      </c>
      <c r="D77" s="17"/>
      <c r="E77" s="17"/>
      <c r="F77" s="18">
        <v>25948</v>
      </c>
      <c r="G77" s="12" t="b">
        <f t="shared" si="0"/>
        <v>0</v>
      </c>
      <c r="H77" s="12">
        <f t="shared" si="1"/>
        <v>37</v>
      </c>
      <c r="I77" s="18">
        <v>39590</v>
      </c>
      <c r="J77" s="18"/>
      <c r="K77" s="22" t="str">
        <f t="shared" si="2"/>
        <v>10 г. 7 мес. 10 дн.</v>
      </c>
      <c r="L77" s="23" t="s">
        <v>27</v>
      </c>
    </row>
    <row r="78" spans="2:15" s="16" customFormat="1" x14ac:dyDescent="0.25">
      <c r="B78" s="24">
        <v>62</v>
      </c>
      <c r="C78" s="56" t="s">
        <v>98</v>
      </c>
      <c r="D78" s="17"/>
      <c r="E78" s="17"/>
      <c r="F78" s="18">
        <v>35493</v>
      </c>
      <c r="G78" s="12" t="b">
        <f t="shared" si="0"/>
        <v>0</v>
      </c>
      <c r="H78" s="12">
        <f t="shared" si="1"/>
        <v>5</v>
      </c>
      <c r="I78" s="18">
        <v>37350</v>
      </c>
      <c r="J78" s="18"/>
      <c r="K78" s="22" t="str">
        <f t="shared" si="2"/>
        <v>16 г. 8 мес. 28 дн.</v>
      </c>
      <c r="L78" s="23" t="s">
        <v>27</v>
      </c>
    </row>
    <row r="79" spans="2:15" s="16" customFormat="1" x14ac:dyDescent="0.25">
      <c r="B79" s="24">
        <v>63</v>
      </c>
      <c r="C79" s="56" t="s">
        <v>99</v>
      </c>
      <c r="D79" s="17"/>
      <c r="E79" s="17"/>
      <c r="F79" s="18">
        <v>26933</v>
      </c>
      <c r="G79" s="12" t="b">
        <f t="shared" si="0"/>
        <v>0</v>
      </c>
      <c r="H79" s="12">
        <f t="shared" si="1"/>
        <v>29</v>
      </c>
      <c r="I79" s="18">
        <v>37770</v>
      </c>
      <c r="J79" s="18"/>
      <c r="K79" s="22" t="str">
        <f t="shared" si="2"/>
        <v>15 г. 7 мес. 3 дн.</v>
      </c>
      <c r="L79" s="23" t="s">
        <v>27</v>
      </c>
    </row>
    <row r="80" spans="2:15" s="16" customFormat="1" x14ac:dyDescent="0.25">
      <c r="B80" s="24">
        <v>64</v>
      </c>
      <c r="C80" s="56" t="s">
        <v>100</v>
      </c>
      <c r="D80" s="17"/>
      <c r="E80" s="17"/>
      <c r="F80" s="18">
        <v>29477</v>
      </c>
      <c r="G80" s="12" t="b">
        <f t="shared" si="0"/>
        <v>0</v>
      </c>
      <c r="H80" s="12">
        <f t="shared" si="1"/>
        <v>24</v>
      </c>
      <c r="I80" s="18">
        <v>38324</v>
      </c>
      <c r="J80" s="18">
        <v>40435</v>
      </c>
      <c r="K80" s="22" t="str">
        <f t="shared" si="2"/>
        <v>5 г. 9 мес. 11 дн.</v>
      </c>
      <c r="L80" s="23" t="s">
        <v>25</v>
      </c>
    </row>
    <row r="81" spans="2:12" s="16" customFormat="1" x14ac:dyDescent="0.25">
      <c r="B81" s="24">
        <v>65</v>
      </c>
      <c r="C81" s="56" t="s">
        <v>101</v>
      </c>
      <c r="D81" s="17"/>
      <c r="E81" s="17"/>
      <c r="F81" s="18">
        <v>31930</v>
      </c>
      <c r="G81" s="12" t="b">
        <f t="shared" si="0"/>
        <v>0</v>
      </c>
      <c r="H81" s="12">
        <f t="shared" si="1"/>
        <v>15</v>
      </c>
      <c r="I81" s="18">
        <v>37741</v>
      </c>
      <c r="J81" s="18">
        <v>39975</v>
      </c>
      <c r="K81" s="22" t="str">
        <f t="shared" si="2"/>
        <v>6 г. 1 мес. 12 дн.</v>
      </c>
      <c r="L81" s="23" t="s">
        <v>16</v>
      </c>
    </row>
    <row r="82" spans="2:12" s="16" customFormat="1" x14ac:dyDescent="0.25">
      <c r="B82" s="24">
        <v>66</v>
      </c>
      <c r="C82" s="56" t="s">
        <v>102</v>
      </c>
      <c r="D82" s="17"/>
      <c r="E82" s="17"/>
      <c r="F82" s="18">
        <v>30852</v>
      </c>
      <c r="G82" s="12" t="b">
        <f t="shared" ref="G82:G116" si="3">IF(OR(RIGHT(E82)="ч",RIGHT(E82,4)="ОГЛЫ"),"мужской",IF(OR(RIGHT(E82)="а",RIGHT(E82,4)="КЫЗЫ"),"женский"))</f>
        <v>0</v>
      </c>
      <c r="H82" s="12">
        <f t="shared" ref="H82:H116" si="4">DATEDIF(F82,I82,"Y")</f>
        <v>19</v>
      </c>
      <c r="I82" s="18">
        <v>37909</v>
      </c>
      <c r="J82" s="18">
        <v>39792</v>
      </c>
      <c r="K82" s="22" t="str">
        <f t="shared" si="2"/>
        <v>5 г. 1 мес. 25 дн.</v>
      </c>
      <c r="L82" s="23" t="s">
        <v>25</v>
      </c>
    </row>
    <row r="83" spans="2:12" s="16" customFormat="1" x14ac:dyDescent="0.25">
      <c r="B83" s="24">
        <v>67</v>
      </c>
      <c r="C83" s="56" t="s">
        <v>103</v>
      </c>
      <c r="D83" s="17"/>
      <c r="E83" s="17"/>
      <c r="F83" s="18">
        <v>35100</v>
      </c>
      <c r="G83" s="12" t="b">
        <f t="shared" si="3"/>
        <v>0</v>
      </c>
      <c r="H83" s="12">
        <f t="shared" si="4"/>
        <v>6</v>
      </c>
      <c r="I83" s="18">
        <v>37391</v>
      </c>
      <c r="J83" s="18">
        <v>39427</v>
      </c>
      <c r="K83" s="22" t="str">
        <f t="shared" ref="K83:K116" si="5">CONCATENATE(IF(J83="",DATEDIF(I83,$F$13,"Y"),DATEDIF(I83,J83,"Y")), " г. ", IF(J83="",DATEDIF(I83,$F$13,"YM"),DATEDIF(I83,J83,"YM")), " мес. ", IF(J83="",DATEDIF(I83,$F$13,"MD"),DATEDIF(I83,J83,"MD")), " дн.")</f>
        <v>5 г. 6 мес. 26 дн.</v>
      </c>
      <c r="L83" s="23" t="s">
        <v>25</v>
      </c>
    </row>
    <row r="84" spans="2:12" s="16" customFormat="1" x14ac:dyDescent="0.25">
      <c r="B84" s="24">
        <v>68</v>
      </c>
      <c r="C84" s="56" t="s">
        <v>104</v>
      </c>
      <c r="D84" s="17"/>
      <c r="E84" s="17"/>
      <c r="F84" s="18">
        <v>33998</v>
      </c>
      <c r="G84" s="12" t="b">
        <f t="shared" si="3"/>
        <v>0</v>
      </c>
      <c r="H84" s="12">
        <f t="shared" si="4"/>
        <v>17</v>
      </c>
      <c r="I84" s="18">
        <v>40230</v>
      </c>
      <c r="J84" s="18">
        <v>41268</v>
      </c>
      <c r="K84" s="22" t="str">
        <f t="shared" si="5"/>
        <v>2 г. 10 мес. 4 дн.</v>
      </c>
      <c r="L84" s="23" t="s">
        <v>17</v>
      </c>
    </row>
    <row r="85" spans="2:12" s="16" customFormat="1" x14ac:dyDescent="0.25">
      <c r="B85" s="24">
        <v>69</v>
      </c>
      <c r="C85" s="56" t="s">
        <v>105</v>
      </c>
      <c r="D85" s="17"/>
      <c r="E85" s="17"/>
      <c r="F85" s="18">
        <v>25953</v>
      </c>
      <c r="G85" s="12" t="b">
        <f t="shared" si="3"/>
        <v>0</v>
      </c>
      <c r="H85" s="12">
        <f t="shared" si="4"/>
        <v>32</v>
      </c>
      <c r="I85" s="18">
        <v>37850</v>
      </c>
      <c r="J85" s="18"/>
      <c r="K85" s="22" t="str">
        <f t="shared" si="5"/>
        <v>15 г. 4 мес. 15 дн.</v>
      </c>
      <c r="L85" s="23" t="s">
        <v>27</v>
      </c>
    </row>
    <row r="86" spans="2:12" s="16" customFormat="1" x14ac:dyDescent="0.25">
      <c r="B86" s="24">
        <v>70</v>
      </c>
      <c r="C86" s="56" t="s">
        <v>106</v>
      </c>
      <c r="D86" s="17"/>
      <c r="E86" s="17"/>
      <c r="F86" s="18">
        <v>27640</v>
      </c>
      <c r="G86" s="12" t="b">
        <f t="shared" si="3"/>
        <v>0</v>
      </c>
      <c r="H86" s="12">
        <f t="shared" si="4"/>
        <v>34</v>
      </c>
      <c r="I86" s="18">
        <v>40336</v>
      </c>
      <c r="J86" s="18">
        <v>39769</v>
      </c>
      <c r="K86" s="22" t="e">
        <f t="shared" si="5"/>
        <v>#NUM!</v>
      </c>
      <c r="L86" s="23" t="s">
        <v>26</v>
      </c>
    </row>
    <row r="87" spans="2:12" s="16" customFormat="1" x14ac:dyDescent="0.25">
      <c r="B87" s="24">
        <v>71</v>
      </c>
      <c r="C87" s="56" t="s">
        <v>107</v>
      </c>
      <c r="D87" s="17"/>
      <c r="E87" s="17"/>
      <c r="F87" s="18">
        <v>34953</v>
      </c>
      <c r="G87" s="12" t="b">
        <f t="shared" si="3"/>
        <v>0</v>
      </c>
      <c r="H87" s="12">
        <f t="shared" si="4"/>
        <v>8</v>
      </c>
      <c r="I87" s="18">
        <v>37878</v>
      </c>
      <c r="J87" s="18">
        <v>39582</v>
      </c>
      <c r="K87" s="22" t="str">
        <f t="shared" si="5"/>
        <v>4 г. 8 мес. 0 дн.</v>
      </c>
      <c r="L87" s="23" t="s">
        <v>16</v>
      </c>
    </row>
    <row r="88" spans="2:12" s="16" customFormat="1" x14ac:dyDescent="0.25">
      <c r="B88" s="24">
        <v>72</v>
      </c>
      <c r="C88" s="56" t="s">
        <v>108</v>
      </c>
      <c r="D88" s="17"/>
      <c r="E88" s="17"/>
      <c r="F88" s="18">
        <v>36013</v>
      </c>
      <c r="G88" s="12" t="b">
        <f t="shared" si="3"/>
        <v>0</v>
      </c>
      <c r="H88" s="12">
        <f t="shared" si="4"/>
        <v>9</v>
      </c>
      <c r="I88" s="18">
        <v>39600</v>
      </c>
      <c r="J88" s="18">
        <v>39740</v>
      </c>
      <c r="K88" s="22" t="str">
        <f t="shared" si="5"/>
        <v>0 г. 4 мес. 18 дн.</v>
      </c>
      <c r="L88" s="23" t="s">
        <v>26</v>
      </c>
    </row>
    <row r="89" spans="2:12" s="16" customFormat="1" x14ac:dyDescent="0.25">
      <c r="B89" s="24">
        <v>73</v>
      </c>
      <c r="C89" s="56" t="s">
        <v>109</v>
      </c>
      <c r="D89" s="17"/>
      <c r="E89" s="17"/>
      <c r="F89" s="18">
        <v>25787</v>
      </c>
      <c r="G89" s="12" t="b">
        <f t="shared" si="3"/>
        <v>0</v>
      </c>
      <c r="H89" s="12">
        <f t="shared" si="4"/>
        <v>31</v>
      </c>
      <c r="I89" s="18">
        <v>37426</v>
      </c>
      <c r="J89" s="18">
        <v>41417</v>
      </c>
      <c r="K89" s="22" t="str">
        <f t="shared" si="5"/>
        <v>10 г. 11 мес. 4 дн.</v>
      </c>
      <c r="L89" s="23" t="s">
        <v>26</v>
      </c>
    </row>
    <row r="90" spans="2:12" s="16" customFormat="1" x14ac:dyDescent="0.25">
      <c r="B90" s="24">
        <v>74</v>
      </c>
      <c r="C90" s="56" t="s">
        <v>110</v>
      </c>
      <c r="D90" s="17"/>
      <c r="E90" s="17"/>
      <c r="F90" s="18">
        <v>28479</v>
      </c>
      <c r="G90" s="12" t="b">
        <f t="shared" si="3"/>
        <v>0</v>
      </c>
      <c r="H90" s="12">
        <f t="shared" si="4"/>
        <v>30</v>
      </c>
      <c r="I90" s="18">
        <v>39440</v>
      </c>
      <c r="J90" s="18"/>
      <c r="K90" s="22" t="str">
        <f t="shared" si="5"/>
        <v>11 г. 0 мес. 8 дн.</v>
      </c>
      <c r="L90" s="23" t="s">
        <v>27</v>
      </c>
    </row>
    <row r="91" spans="2:12" s="16" customFormat="1" x14ac:dyDescent="0.25">
      <c r="B91" s="24">
        <v>75</v>
      </c>
      <c r="C91" s="56" t="s">
        <v>111</v>
      </c>
      <c r="D91" s="17"/>
      <c r="E91" s="17"/>
      <c r="F91" s="18">
        <v>28696</v>
      </c>
      <c r="G91" s="12" t="b">
        <f t="shared" si="3"/>
        <v>0</v>
      </c>
      <c r="H91" s="12">
        <f t="shared" si="4"/>
        <v>23</v>
      </c>
      <c r="I91" s="18">
        <v>37198</v>
      </c>
      <c r="J91" s="18">
        <v>40783</v>
      </c>
      <c r="K91" s="22" t="str">
        <f t="shared" si="5"/>
        <v>9 г. 9 мес. 25 дн.</v>
      </c>
      <c r="L91" s="23" t="s">
        <v>26</v>
      </c>
    </row>
    <row r="92" spans="2:12" s="16" customFormat="1" x14ac:dyDescent="0.25">
      <c r="B92" s="24">
        <v>76</v>
      </c>
      <c r="C92" s="56" t="s">
        <v>112</v>
      </c>
      <c r="D92" s="17"/>
      <c r="E92" s="17"/>
      <c r="F92" s="18">
        <v>33321</v>
      </c>
      <c r="G92" s="12" t="b">
        <f t="shared" si="3"/>
        <v>0</v>
      </c>
      <c r="H92" s="12">
        <f t="shared" si="4"/>
        <v>17</v>
      </c>
      <c r="I92" s="18">
        <v>39835</v>
      </c>
      <c r="J92" s="18"/>
      <c r="K92" s="22" t="str">
        <f t="shared" si="5"/>
        <v>9 г. 11 мес. 10 дн.</v>
      </c>
      <c r="L92" s="23" t="s">
        <v>27</v>
      </c>
    </row>
    <row r="93" spans="2:12" s="16" customFormat="1" x14ac:dyDescent="0.25">
      <c r="B93" s="24">
        <v>77</v>
      </c>
      <c r="C93" s="56" t="s">
        <v>113</v>
      </c>
      <c r="D93" s="17"/>
      <c r="E93" s="17"/>
      <c r="F93" s="18">
        <v>27529</v>
      </c>
      <c r="G93" s="12" t="b">
        <f t="shared" si="3"/>
        <v>0</v>
      </c>
      <c r="H93" s="12">
        <f t="shared" si="4"/>
        <v>24</v>
      </c>
      <c r="I93" s="18">
        <v>36644</v>
      </c>
      <c r="J93" s="18">
        <v>41121</v>
      </c>
      <c r="K93" s="22" t="str">
        <f t="shared" si="5"/>
        <v>12 г. 3 мес. 3 дн.</v>
      </c>
      <c r="L93" s="23" t="s">
        <v>25</v>
      </c>
    </row>
    <row r="94" spans="2:12" s="16" customFormat="1" x14ac:dyDescent="0.25">
      <c r="B94" s="24">
        <v>78</v>
      </c>
      <c r="C94" s="56" t="s">
        <v>114</v>
      </c>
      <c r="D94" s="17"/>
      <c r="E94" s="17"/>
      <c r="F94" s="18">
        <v>34970</v>
      </c>
      <c r="G94" s="12" t="b">
        <f t="shared" si="3"/>
        <v>0</v>
      </c>
      <c r="H94" s="12">
        <f t="shared" si="4"/>
        <v>8</v>
      </c>
      <c r="I94" s="18">
        <v>38214</v>
      </c>
      <c r="J94" s="18"/>
      <c r="K94" s="22" t="str">
        <f t="shared" si="5"/>
        <v>14 г. 4 мес. 17 дн.</v>
      </c>
      <c r="L94" s="23" t="s">
        <v>27</v>
      </c>
    </row>
    <row r="95" spans="2:12" s="16" customFormat="1" x14ac:dyDescent="0.25">
      <c r="B95" s="24">
        <v>79</v>
      </c>
      <c r="C95" s="56" t="s">
        <v>115</v>
      </c>
      <c r="D95" s="17"/>
      <c r="E95" s="17"/>
      <c r="F95" s="18">
        <v>35951</v>
      </c>
      <c r="G95" s="12" t="b">
        <f t="shared" si="3"/>
        <v>0</v>
      </c>
      <c r="H95" s="12">
        <f t="shared" si="4"/>
        <v>5</v>
      </c>
      <c r="I95" s="18">
        <v>37856</v>
      </c>
      <c r="J95" s="18">
        <v>41725</v>
      </c>
      <c r="K95" s="22" t="str">
        <f t="shared" si="5"/>
        <v>10 г. 7 мес. 4 дн.</v>
      </c>
      <c r="L95" s="23" t="s">
        <v>25</v>
      </c>
    </row>
    <row r="96" spans="2:12" s="16" customFormat="1" x14ac:dyDescent="0.25">
      <c r="B96" s="24">
        <v>80</v>
      </c>
      <c r="C96" s="56" t="s">
        <v>116</v>
      </c>
      <c r="D96" s="17"/>
      <c r="E96" s="17"/>
      <c r="F96" s="18">
        <v>34816</v>
      </c>
      <c r="G96" s="12" t="b">
        <f t="shared" si="3"/>
        <v>0</v>
      </c>
      <c r="H96" s="12">
        <f t="shared" si="4"/>
        <v>14</v>
      </c>
      <c r="I96" s="18">
        <v>40285</v>
      </c>
      <c r="J96" s="18">
        <v>39008</v>
      </c>
      <c r="K96" s="22" t="e">
        <f t="shared" si="5"/>
        <v>#NUM!</v>
      </c>
      <c r="L96" s="23" t="s">
        <v>25</v>
      </c>
    </row>
    <row r="97" spans="2:12" s="16" customFormat="1" x14ac:dyDescent="0.25">
      <c r="B97" s="24">
        <v>81</v>
      </c>
      <c r="C97" s="56" t="s">
        <v>117</v>
      </c>
      <c r="D97" s="17"/>
      <c r="E97" s="17"/>
      <c r="F97" s="18">
        <v>35804</v>
      </c>
      <c r="G97" s="12" t="b">
        <f t="shared" si="3"/>
        <v>0</v>
      </c>
      <c r="H97" s="12">
        <f t="shared" si="4"/>
        <v>5</v>
      </c>
      <c r="I97" s="18">
        <v>37641</v>
      </c>
      <c r="J97" s="18">
        <v>39987</v>
      </c>
      <c r="K97" s="22" t="str">
        <f t="shared" si="5"/>
        <v>6 г. 5 мес. 3 дн.</v>
      </c>
      <c r="L97" s="23" t="s">
        <v>16</v>
      </c>
    </row>
    <row r="98" spans="2:12" s="16" customFormat="1" x14ac:dyDescent="0.25">
      <c r="B98" s="24">
        <v>82</v>
      </c>
      <c r="C98" s="56" t="s">
        <v>118</v>
      </c>
      <c r="D98" s="17"/>
      <c r="E98" s="17"/>
      <c r="F98" s="18">
        <v>32864</v>
      </c>
      <c r="G98" s="12" t="b">
        <f t="shared" si="3"/>
        <v>0</v>
      </c>
      <c r="H98" s="12">
        <f t="shared" si="4"/>
        <v>17</v>
      </c>
      <c r="I98" s="18">
        <v>39176</v>
      </c>
      <c r="J98" s="18"/>
      <c r="K98" s="22" t="str">
        <f t="shared" si="5"/>
        <v>11 г. 8 мес. 28 дн.</v>
      </c>
      <c r="L98" s="23" t="s">
        <v>27</v>
      </c>
    </row>
    <row r="99" spans="2:12" s="16" customFormat="1" x14ac:dyDescent="0.25">
      <c r="B99" s="24">
        <v>83</v>
      </c>
      <c r="C99" s="56" t="s">
        <v>119</v>
      </c>
      <c r="D99" s="17"/>
      <c r="E99" s="17"/>
      <c r="F99" s="18">
        <v>35516</v>
      </c>
      <c r="G99" s="12" t="b">
        <f t="shared" si="3"/>
        <v>0</v>
      </c>
      <c r="H99" s="12">
        <f t="shared" si="4"/>
        <v>7</v>
      </c>
      <c r="I99" s="18">
        <v>38399</v>
      </c>
      <c r="J99" s="18">
        <v>41853</v>
      </c>
      <c r="K99" s="22" t="str">
        <f t="shared" si="5"/>
        <v>9 г. 5 мес. 17 дн.</v>
      </c>
      <c r="L99" s="23" t="s">
        <v>25</v>
      </c>
    </row>
    <row r="100" spans="2:12" s="16" customFormat="1" x14ac:dyDescent="0.25">
      <c r="B100" s="24">
        <v>84</v>
      </c>
      <c r="C100" s="56" t="s">
        <v>120</v>
      </c>
      <c r="D100" s="17"/>
      <c r="E100" s="17"/>
      <c r="F100" s="18">
        <v>35223</v>
      </c>
      <c r="G100" s="12" t="b">
        <f t="shared" si="3"/>
        <v>0</v>
      </c>
      <c r="H100" s="12">
        <f t="shared" si="4"/>
        <v>5</v>
      </c>
      <c r="I100" s="18">
        <v>37064</v>
      </c>
      <c r="J100" s="18">
        <v>40387</v>
      </c>
      <c r="K100" s="22" t="str">
        <f t="shared" si="5"/>
        <v>9 г. 1 мес. 6 дн.</v>
      </c>
      <c r="L100" s="23" t="s">
        <v>25</v>
      </c>
    </row>
    <row r="101" spans="2:12" s="16" customFormat="1" x14ac:dyDescent="0.25">
      <c r="B101" s="24">
        <v>85</v>
      </c>
      <c r="C101" s="56" t="s">
        <v>121</v>
      </c>
      <c r="D101" s="17"/>
      <c r="E101" s="17"/>
      <c r="F101" s="18">
        <v>27173</v>
      </c>
      <c r="G101" s="12" t="b">
        <f t="shared" si="3"/>
        <v>0</v>
      </c>
      <c r="H101" s="12">
        <f t="shared" si="4"/>
        <v>34</v>
      </c>
      <c r="I101" s="18">
        <v>39817</v>
      </c>
      <c r="J101" s="18"/>
      <c r="K101" s="22" t="str">
        <f t="shared" si="5"/>
        <v>9 г. 11 мес. 28 дн.</v>
      </c>
      <c r="L101" s="23" t="s">
        <v>27</v>
      </c>
    </row>
    <row r="102" spans="2:12" s="16" customFormat="1" x14ac:dyDescent="0.25">
      <c r="B102" s="24">
        <v>86</v>
      </c>
      <c r="C102" s="56" t="s">
        <v>122</v>
      </c>
      <c r="D102" s="17"/>
      <c r="E102" s="17"/>
      <c r="F102" s="18">
        <v>28168</v>
      </c>
      <c r="G102" s="12" t="b">
        <f t="shared" si="3"/>
        <v>0</v>
      </c>
      <c r="H102" s="12">
        <f t="shared" si="4"/>
        <v>27</v>
      </c>
      <c r="I102" s="18">
        <v>38145</v>
      </c>
      <c r="J102" s="18"/>
      <c r="K102" s="22" t="str">
        <f t="shared" si="5"/>
        <v>14 г. 6 мес. 25 дн.</v>
      </c>
      <c r="L102" s="23" t="s">
        <v>27</v>
      </c>
    </row>
    <row r="103" spans="2:12" s="16" customFormat="1" x14ac:dyDescent="0.25">
      <c r="B103" s="24">
        <v>87</v>
      </c>
      <c r="C103" s="56" t="s">
        <v>123</v>
      </c>
      <c r="D103" s="17"/>
      <c r="E103" s="17"/>
      <c r="F103" s="18">
        <v>27729</v>
      </c>
      <c r="G103" s="12" t="b">
        <f t="shared" si="3"/>
        <v>0</v>
      </c>
      <c r="H103" s="12">
        <f t="shared" si="4"/>
        <v>24</v>
      </c>
      <c r="I103" s="18">
        <v>36544</v>
      </c>
      <c r="J103" s="18"/>
      <c r="K103" s="22" t="str">
        <f t="shared" si="5"/>
        <v>18 г. 11 мес. 13 дн.</v>
      </c>
      <c r="L103" s="23" t="s">
        <v>27</v>
      </c>
    </row>
    <row r="104" spans="2:12" s="16" customFormat="1" x14ac:dyDescent="0.25">
      <c r="B104" s="24">
        <v>88</v>
      </c>
      <c r="C104" s="56" t="s">
        <v>124</v>
      </c>
      <c r="D104" s="17"/>
      <c r="E104" s="17"/>
      <c r="F104" s="18">
        <v>26084</v>
      </c>
      <c r="G104" s="12" t="b">
        <f t="shared" si="3"/>
        <v>0</v>
      </c>
      <c r="H104" s="12">
        <f t="shared" si="4"/>
        <v>37</v>
      </c>
      <c r="I104" s="18">
        <v>39855</v>
      </c>
      <c r="J104" s="18">
        <v>41813</v>
      </c>
      <c r="K104" s="22" t="str">
        <f t="shared" si="5"/>
        <v>5 г. 4 мес. 12 дн.</v>
      </c>
      <c r="L104" s="23" t="s">
        <v>26</v>
      </c>
    </row>
    <row r="105" spans="2:12" s="16" customFormat="1" x14ac:dyDescent="0.25">
      <c r="B105" s="24">
        <v>89</v>
      </c>
      <c r="C105" s="56" t="s">
        <v>125</v>
      </c>
      <c r="D105" s="17"/>
      <c r="E105" s="17"/>
      <c r="F105" s="18">
        <v>31827</v>
      </c>
      <c r="G105" s="12" t="b">
        <f t="shared" si="3"/>
        <v>0</v>
      </c>
      <c r="H105" s="12">
        <f t="shared" si="4"/>
        <v>13</v>
      </c>
      <c r="I105" s="18">
        <v>36718</v>
      </c>
      <c r="J105" s="18"/>
      <c r="K105" s="22" t="str">
        <f t="shared" si="5"/>
        <v>18 г. 5 мес. 21 дн.</v>
      </c>
      <c r="L105" s="23" t="s">
        <v>27</v>
      </c>
    </row>
    <row r="106" spans="2:12" s="16" customFormat="1" x14ac:dyDescent="0.25">
      <c r="B106" s="24">
        <v>90</v>
      </c>
      <c r="C106" s="56" t="s">
        <v>126</v>
      </c>
      <c r="D106" s="17"/>
      <c r="E106" s="17"/>
      <c r="F106" s="18">
        <v>28691</v>
      </c>
      <c r="G106" s="12" t="b">
        <f t="shared" si="3"/>
        <v>0</v>
      </c>
      <c r="H106" s="12">
        <f t="shared" si="4"/>
        <v>28</v>
      </c>
      <c r="I106" s="18">
        <v>39080</v>
      </c>
      <c r="J106" s="18">
        <v>37939</v>
      </c>
      <c r="K106" s="22" t="e">
        <f t="shared" si="5"/>
        <v>#NUM!</v>
      </c>
      <c r="L106" s="23" t="s">
        <v>26</v>
      </c>
    </row>
    <row r="107" spans="2:12" s="16" customFormat="1" x14ac:dyDescent="0.25">
      <c r="B107" s="24">
        <v>91</v>
      </c>
      <c r="C107" s="56" t="s">
        <v>127</v>
      </c>
      <c r="D107" s="17"/>
      <c r="E107" s="17"/>
      <c r="F107" s="18">
        <v>28694</v>
      </c>
      <c r="G107" s="12" t="b">
        <f t="shared" si="3"/>
        <v>0</v>
      </c>
      <c r="H107" s="12">
        <f t="shared" si="4"/>
        <v>26</v>
      </c>
      <c r="I107" s="18">
        <v>38387</v>
      </c>
      <c r="J107" s="18">
        <v>41603</v>
      </c>
      <c r="K107" s="22" t="str">
        <f t="shared" si="5"/>
        <v>8 г. 9 мес. 21 дн.</v>
      </c>
      <c r="L107" s="23" t="s">
        <v>25</v>
      </c>
    </row>
    <row r="108" spans="2:12" s="16" customFormat="1" x14ac:dyDescent="0.25">
      <c r="B108" s="24">
        <v>92</v>
      </c>
      <c r="C108" s="56" t="s">
        <v>128</v>
      </c>
      <c r="D108" s="17"/>
      <c r="E108" s="17"/>
      <c r="F108" s="18">
        <v>25942</v>
      </c>
      <c r="G108" s="12" t="b">
        <f t="shared" si="3"/>
        <v>0</v>
      </c>
      <c r="H108" s="12">
        <f t="shared" si="4"/>
        <v>38</v>
      </c>
      <c r="I108" s="18">
        <v>39948</v>
      </c>
      <c r="J108" s="18">
        <v>42300</v>
      </c>
      <c r="K108" s="22" t="str">
        <f t="shared" si="5"/>
        <v>6 г. 5 мес. 8 дн.</v>
      </c>
      <c r="L108" s="23" t="s">
        <v>19</v>
      </c>
    </row>
    <row r="109" spans="2:12" s="16" customFormat="1" x14ac:dyDescent="0.25">
      <c r="B109" s="24">
        <v>93</v>
      </c>
      <c r="C109" s="56" t="s">
        <v>129</v>
      </c>
      <c r="D109" s="17"/>
      <c r="E109" s="17"/>
      <c r="F109" s="18">
        <v>35991</v>
      </c>
      <c r="G109" s="12" t="b">
        <f t="shared" si="3"/>
        <v>0</v>
      </c>
      <c r="H109" s="12">
        <f t="shared" si="4"/>
        <v>11</v>
      </c>
      <c r="I109" s="18">
        <v>40021</v>
      </c>
      <c r="J109" s="18"/>
      <c r="K109" s="22" t="str">
        <f t="shared" si="5"/>
        <v>9 г. 5 мес. 5 дн.</v>
      </c>
      <c r="L109" s="23" t="s">
        <v>27</v>
      </c>
    </row>
    <row r="110" spans="2:12" s="16" customFormat="1" x14ac:dyDescent="0.25">
      <c r="B110" s="24">
        <v>94</v>
      </c>
      <c r="C110" s="56" t="s">
        <v>130</v>
      </c>
      <c r="D110" s="17"/>
      <c r="E110" s="17"/>
      <c r="F110" s="18">
        <v>27943</v>
      </c>
      <c r="G110" s="12" t="b">
        <f t="shared" si="3"/>
        <v>0</v>
      </c>
      <c r="H110" s="12">
        <f t="shared" si="4"/>
        <v>27</v>
      </c>
      <c r="I110" s="18">
        <v>37983</v>
      </c>
      <c r="J110" s="18">
        <v>40449</v>
      </c>
      <c r="K110" s="22" t="str">
        <f t="shared" si="5"/>
        <v>6 г. 9 мес. 0 дн.</v>
      </c>
      <c r="L110" s="23" t="s">
        <v>16</v>
      </c>
    </row>
    <row r="111" spans="2:12" s="16" customFormat="1" x14ac:dyDescent="0.25">
      <c r="B111" s="24">
        <v>95</v>
      </c>
      <c r="C111" s="56" t="s">
        <v>131</v>
      </c>
      <c r="D111" s="17"/>
      <c r="E111" s="17"/>
      <c r="F111" s="18">
        <v>30866</v>
      </c>
      <c r="G111" s="12" t="b">
        <f t="shared" si="3"/>
        <v>0</v>
      </c>
      <c r="H111" s="12">
        <f t="shared" si="4"/>
        <v>25</v>
      </c>
      <c r="I111" s="18">
        <v>40144</v>
      </c>
      <c r="J111" s="18">
        <v>40650</v>
      </c>
      <c r="K111" s="22" t="str">
        <f t="shared" si="5"/>
        <v>1 г. 4 мес. 21 дн.</v>
      </c>
      <c r="L111" s="23" t="s">
        <v>26</v>
      </c>
    </row>
    <row r="112" spans="2:12" s="16" customFormat="1" x14ac:dyDescent="0.25">
      <c r="B112" s="24">
        <v>96</v>
      </c>
      <c r="C112" s="56" t="s">
        <v>132</v>
      </c>
      <c r="D112" s="17"/>
      <c r="E112" s="17"/>
      <c r="F112" s="18">
        <v>31785</v>
      </c>
      <c r="G112" s="12" t="b">
        <f t="shared" si="3"/>
        <v>0</v>
      </c>
      <c r="H112" s="12">
        <f t="shared" si="4"/>
        <v>18</v>
      </c>
      <c r="I112" s="18">
        <v>38638</v>
      </c>
      <c r="J112" s="18">
        <v>41223</v>
      </c>
      <c r="K112" s="22" t="str">
        <f t="shared" si="5"/>
        <v>7 г. 0 мес. 28 дн.</v>
      </c>
      <c r="L112" s="23" t="s">
        <v>25</v>
      </c>
    </row>
    <row r="113" spans="2:12" s="16" customFormat="1" x14ac:dyDescent="0.25">
      <c r="B113" s="24">
        <v>97</v>
      </c>
      <c r="C113" s="56" t="s">
        <v>133</v>
      </c>
      <c r="D113" s="17"/>
      <c r="E113" s="17"/>
      <c r="F113" s="18">
        <v>27493</v>
      </c>
      <c r="G113" s="12" t="b">
        <f t="shared" si="3"/>
        <v>0</v>
      </c>
      <c r="H113" s="12">
        <f t="shared" si="4"/>
        <v>34</v>
      </c>
      <c r="I113" s="18">
        <v>39913</v>
      </c>
      <c r="J113" s="18"/>
      <c r="K113" s="22" t="str">
        <f t="shared" si="5"/>
        <v>9 г. 8 мес. 22 дн.</v>
      </c>
      <c r="L113" s="23" t="s">
        <v>27</v>
      </c>
    </row>
    <row r="114" spans="2:12" s="16" customFormat="1" x14ac:dyDescent="0.25">
      <c r="B114" s="24">
        <v>98</v>
      </c>
      <c r="C114" s="56" t="s">
        <v>134</v>
      </c>
      <c r="D114" s="17"/>
      <c r="E114" s="17"/>
      <c r="F114" s="18">
        <v>30184</v>
      </c>
      <c r="G114" s="12" t="b">
        <f t="shared" si="3"/>
        <v>0</v>
      </c>
      <c r="H114" s="12">
        <f t="shared" si="4"/>
        <v>23</v>
      </c>
      <c r="I114" s="18">
        <v>38877</v>
      </c>
      <c r="J114" s="18">
        <v>40193</v>
      </c>
      <c r="K114" s="22" t="str">
        <f t="shared" si="5"/>
        <v>3 г. 7 мес. 6 дн.</v>
      </c>
      <c r="L114" s="23" t="s">
        <v>16</v>
      </c>
    </row>
    <row r="115" spans="2:12" s="16" customFormat="1" x14ac:dyDescent="0.25">
      <c r="B115" s="24">
        <v>99</v>
      </c>
      <c r="C115" s="56" t="s">
        <v>135</v>
      </c>
      <c r="D115" s="17"/>
      <c r="E115" s="17"/>
      <c r="F115" s="18">
        <v>33132</v>
      </c>
      <c r="G115" s="12" t="b">
        <f t="shared" si="3"/>
        <v>0</v>
      </c>
      <c r="H115" s="12">
        <f t="shared" si="4"/>
        <v>16</v>
      </c>
      <c r="I115" s="18">
        <v>39098</v>
      </c>
      <c r="J115" s="18"/>
      <c r="K115" s="22" t="str">
        <f t="shared" si="5"/>
        <v>11 г. 11 мес. 16 дн.</v>
      </c>
      <c r="L115" s="23" t="s">
        <v>27</v>
      </c>
    </row>
    <row r="116" spans="2:12" s="16" customFormat="1" x14ac:dyDescent="0.25">
      <c r="B116" s="26">
        <v>100</v>
      </c>
      <c r="C116" s="56" t="s">
        <v>136</v>
      </c>
      <c r="D116" s="27"/>
      <c r="E116" s="27"/>
      <c r="F116" s="28">
        <v>25657</v>
      </c>
      <c r="G116" s="12" t="b">
        <f t="shared" si="3"/>
        <v>0</v>
      </c>
      <c r="H116" s="29">
        <f t="shared" si="4"/>
        <v>35</v>
      </c>
      <c r="I116" s="28">
        <v>38474</v>
      </c>
      <c r="J116" s="28">
        <v>39128</v>
      </c>
      <c r="K116" s="30" t="str">
        <f t="shared" si="5"/>
        <v>1 г. 9 мес. 13 дн.</v>
      </c>
      <c r="L116" s="31" t="s">
        <v>25</v>
      </c>
    </row>
  </sheetData>
  <sortState ref="L12:M111">
    <sortCondition ref="M12:M111"/>
  </sortState>
  <mergeCells count="10">
    <mergeCell ref="A1:G11"/>
    <mergeCell ref="J9:M9"/>
    <mergeCell ref="J3:M3"/>
    <mergeCell ref="J4:M4"/>
    <mergeCell ref="J5:M5"/>
    <mergeCell ref="J6:M6"/>
    <mergeCell ref="J7:M7"/>
    <mergeCell ref="J8:M8"/>
    <mergeCell ref="J10:M10"/>
    <mergeCell ref="J11:M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e_most_common_reason">
                <anchor moveWithCells="1" sizeWithCells="1">
                  <from>
                    <xdr:col>14</xdr:col>
                    <xdr:colOff>0</xdr:colOff>
                    <xdr:row>10</xdr:row>
                    <xdr:rowOff>9525</xdr:rowOff>
                  </from>
                  <to>
                    <xdr:col>14</xdr:col>
                    <xdr:colOff>600075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O">
                <anchor moveWithCells="1" sizeWithCells="1">
                  <from>
                    <xdr:col>6</xdr:col>
                    <xdr:colOff>581025</xdr:colOff>
                    <xdr:row>11</xdr:row>
                    <xdr:rowOff>95250</xdr:rowOff>
                  </from>
                  <to>
                    <xdr:col>8</xdr:col>
                    <xdr:colOff>476250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ata_format">
                <anchor moveWithCells="1" sizeWithCells="1">
                  <from>
                    <xdr:col>8</xdr:col>
                    <xdr:colOff>600075</xdr:colOff>
                    <xdr:row>11</xdr:row>
                    <xdr:rowOff>95250</xdr:rowOff>
                  </from>
                  <to>
                    <xdr:col>10</xdr:col>
                    <xdr:colOff>866775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nique_values">
                <anchor moveWithCells="1" sizeWithCells="1">
                  <from>
                    <xdr:col>10</xdr:col>
                    <xdr:colOff>1009650</xdr:colOff>
                    <xdr:row>11</xdr:row>
                    <xdr:rowOff>95250</xdr:rowOff>
                  </from>
                  <to>
                    <xdr:col>13</xdr:col>
                    <xdr:colOff>866775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E22"/>
  <sheetViews>
    <sheetView showGridLines="0" workbookViewId="0">
      <selection activeCell="C3" sqref="C3"/>
    </sheetView>
  </sheetViews>
  <sheetFormatPr defaultRowHeight="15" x14ac:dyDescent="0.25"/>
  <cols>
    <col min="2" max="2" width="40.28515625" bestFit="1" customWidth="1"/>
    <col min="3" max="3" width="9" customWidth="1"/>
    <col min="4" max="4" width="9.28515625" bestFit="1" customWidth="1"/>
    <col min="5" max="5" width="11.85546875" bestFit="1" customWidth="1"/>
  </cols>
  <sheetData>
    <row r="3" spans="2:5" x14ac:dyDescent="0.25">
      <c r="B3" s="36" t="s">
        <v>35</v>
      </c>
    </row>
    <row r="4" spans="2:5" x14ac:dyDescent="0.25">
      <c r="C4" t="s">
        <v>33</v>
      </c>
      <c r="D4" t="s">
        <v>34</v>
      </c>
      <c r="E4" t="s">
        <v>32</v>
      </c>
    </row>
    <row r="5" spans="2:5" x14ac:dyDescent="0.25">
      <c r="B5" s="37" t="s">
        <v>18</v>
      </c>
      <c r="C5" s="38">
        <v>1</v>
      </c>
      <c r="D5" s="38">
        <v>1</v>
      </c>
      <c r="E5" s="38">
        <v>2</v>
      </c>
    </row>
    <row r="6" spans="2:5" x14ac:dyDescent="0.25">
      <c r="B6" s="37" t="s">
        <v>26</v>
      </c>
      <c r="C6" s="38">
        <v>5</v>
      </c>
      <c r="D6" s="38">
        <v>7</v>
      </c>
      <c r="E6" s="38">
        <v>12</v>
      </c>
    </row>
    <row r="7" spans="2:5" x14ac:dyDescent="0.25">
      <c r="B7" s="37" t="s">
        <v>19</v>
      </c>
      <c r="C7" s="38">
        <v>2</v>
      </c>
      <c r="D7" s="38">
        <v>2</v>
      </c>
      <c r="E7" s="38">
        <v>4</v>
      </c>
    </row>
    <row r="8" spans="2:5" x14ac:dyDescent="0.25">
      <c r="B8" s="37" t="s">
        <v>25</v>
      </c>
      <c r="C8" s="38">
        <v>10</v>
      </c>
      <c r="D8" s="38">
        <v>15</v>
      </c>
      <c r="E8" s="38">
        <v>25</v>
      </c>
    </row>
    <row r="9" spans="2:5" x14ac:dyDescent="0.25">
      <c r="B9" s="37" t="s">
        <v>16</v>
      </c>
      <c r="C9" s="38">
        <v>8</v>
      </c>
      <c r="D9" s="38">
        <v>5</v>
      </c>
      <c r="E9" s="38">
        <v>13</v>
      </c>
    </row>
    <row r="10" spans="2:5" x14ac:dyDescent="0.25">
      <c r="B10" s="37" t="s">
        <v>17</v>
      </c>
      <c r="C10" s="38">
        <v>3</v>
      </c>
      <c r="D10" s="38">
        <v>2</v>
      </c>
      <c r="E10" s="38">
        <v>5</v>
      </c>
    </row>
    <row r="11" spans="2:5" x14ac:dyDescent="0.25">
      <c r="B11" s="37" t="s">
        <v>32</v>
      </c>
      <c r="C11" s="38">
        <v>29</v>
      </c>
      <c r="D11" s="38">
        <v>32</v>
      </c>
      <c r="E11" s="38">
        <v>61</v>
      </c>
    </row>
    <row r="16" spans="2:5" x14ac:dyDescent="0.25">
      <c r="B16" s="55" t="s">
        <v>36</v>
      </c>
      <c r="C16" s="55"/>
      <c r="D16" s="55"/>
      <c r="E16" s="55"/>
    </row>
    <row r="17" spans="2:5" x14ac:dyDescent="0.25">
      <c r="B17" s="55"/>
      <c r="C17" s="55"/>
      <c r="D17" s="55"/>
      <c r="E17" s="55"/>
    </row>
    <row r="18" spans="2:5" x14ac:dyDescent="0.25">
      <c r="B18" s="55"/>
      <c r="C18" s="55"/>
      <c r="D18" s="55"/>
      <c r="E18" s="55"/>
    </row>
    <row r="19" spans="2:5" x14ac:dyDescent="0.25">
      <c r="B19" s="55"/>
      <c r="C19" s="55"/>
      <c r="D19" s="55"/>
      <c r="E19" s="55"/>
    </row>
    <row r="20" spans="2:5" x14ac:dyDescent="0.25">
      <c r="B20" s="55"/>
      <c r="C20" s="55"/>
      <c r="D20" s="55"/>
      <c r="E20" s="55"/>
    </row>
    <row r="21" spans="2:5" x14ac:dyDescent="0.25">
      <c r="B21" s="55"/>
      <c r="C21" s="55"/>
      <c r="D21" s="55"/>
      <c r="E21" s="55"/>
    </row>
    <row r="22" spans="2:5" x14ac:dyDescent="0.25">
      <c r="B22" s="55"/>
      <c r="C22" s="55"/>
      <c r="D22" s="55"/>
      <c r="E22" s="55"/>
    </row>
  </sheetData>
  <mergeCells count="1">
    <mergeCell ref="B16:E22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Данные</vt:lpstr>
      <vt:lpstr>СводнаяТаблица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2021-12-07T10:17:49Z</dcterms:modified>
</cp:coreProperties>
</file>